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7" i="1" l="1"/>
  <c r="D17" i="1"/>
  <c r="T69" i="1" l="1"/>
  <c r="O69" i="1"/>
  <c r="J69" i="1"/>
  <c r="T68" i="1"/>
  <c r="O68" i="1"/>
  <c r="J68" i="1"/>
  <c r="T61" i="1"/>
  <c r="O61" i="1"/>
  <c r="J61" i="1"/>
  <c r="T60" i="1"/>
  <c r="O60" i="1"/>
  <c r="J60" i="1"/>
  <c r="T53" i="1"/>
  <c r="O53" i="1"/>
  <c r="J53" i="1"/>
  <c r="T52" i="1"/>
  <c r="O52" i="1"/>
  <c r="J52" i="1"/>
  <c r="T45" i="1"/>
  <c r="O45" i="1"/>
  <c r="J45" i="1"/>
  <c r="T44" i="1"/>
  <c r="O44" i="1"/>
  <c r="J44" i="1"/>
  <c r="T37" i="1"/>
  <c r="O37" i="1"/>
  <c r="J37" i="1"/>
  <c r="T36" i="1"/>
  <c r="O36" i="1"/>
  <c r="J36" i="1"/>
  <c r="T29" i="1"/>
  <c r="O29" i="1"/>
  <c r="J29" i="1"/>
  <c r="T28" i="1"/>
  <c r="O28" i="1"/>
  <c r="J28" i="1"/>
  <c r="C20" i="1"/>
  <c r="AA25" i="1" s="1"/>
  <c r="C21" i="1"/>
  <c r="T4" i="1"/>
  <c r="T5" i="1"/>
  <c r="T6" i="1"/>
  <c r="T7" i="1"/>
  <c r="T8" i="1"/>
  <c r="T9" i="1"/>
  <c r="T10" i="1"/>
  <c r="T11" i="1"/>
  <c r="T12" i="1"/>
  <c r="T13" i="1"/>
  <c r="T14" i="1"/>
  <c r="T15" i="1"/>
  <c r="T20" i="1"/>
  <c r="T21" i="1"/>
  <c r="O21" i="1"/>
  <c r="J21" i="1"/>
  <c r="O20" i="1"/>
  <c r="J20" i="1"/>
  <c r="I21" i="1"/>
  <c r="C5" i="1"/>
  <c r="C36" i="1" s="1"/>
  <c r="C4" i="1"/>
  <c r="C10" i="1" s="1"/>
  <c r="C44" i="1" s="1"/>
  <c r="AA49" i="1" s="1"/>
  <c r="G4" i="1"/>
  <c r="K20" i="1" l="1"/>
  <c r="C23" i="1"/>
  <c r="R44" i="1"/>
  <c r="Q44" i="1"/>
  <c r="P44" i="1"/>
  <c r="N44" i="1"/>
  <c r="S44" i="1"/>
  <c r="S36" i="1"/>
  <c r="Q36" i="1"/>
  <c r="P36" i="1"/>
  <c r="R36" i="1"/>
  <c r="N36" i="1"/>
  <c r="C28" i="1"/>
  <c r="U28" i="1" s="1"/>
  <c r="C37" i="1"/>
  <c r="AA41" i="1" s="1"/>
  <c r="C60" i="1"/>
  <c r="AA65" i="1" s="1"/>
  <c r="U44" i="1"/>
  <c r="V44" i="1"/>
  <c r="I44" i="1"/>
  <c r="F44" i="1"/>
  <c r="W44" i="1"/>
  <c r="X44" i="1"/>
  <c r="G44" i="1"/>
  <c r="K44" i="1"/>
  <c r="H44" i="1"/>
  <c r="L44" i="1"/>
  <c r="M44" i="1"/>
  <c r="H36" i="1"/>
  <c r="U36" i="1"/>
  <c r="V36" i="1"/>
  <c r="G36" i="1"/>
  <c r="X36" i="1"/>
  <c r="L36" i="1"/>
  <c r="F36" i="1"/>
  <c r="W36" i="1"/>
  <c r="K36" i="1"/>
  <c r="M36" i="1"/>
  <c r="I36" i="1"/>
  <c r="F28" i="1"/>
  <c r="X28" i="1"/>
  <c r="N20" i="1"/>
  <c r="K21" i="1"/>
  <c r="N21" i="1"/>
  <c r="L21" i="1"/>
  <c r="P21" i="1"/>
  <c r="Q21" i="1"/>
  <c r="S21" i="1"/>
  <c r="P20" i="1"/>
  <c r="Q20" i="1"/>
  <c r="R20" i="1"/>
  <c r="S20" i="1"/>
  <c r="U20" i="1"/>
  <c r="M21" i="1"/>
  <c r="L20" i="1"/>
  <c r="M20" i="1"/>
  <c r="R21" i="1"/>
  <c r="V20" i="1"/>
  <c r="U21" i="1"/>
  <c r="X20" i="1"/>
  <c r="G20" i="1"/>
  <c r="F21" i="1"/>
  <c r="H20" i="1"/>
  <c r="G21" i="1"/>
  <c r="X21" i="1"/>
  <c r="W20" i="1"/>
  <c r="F20" i="1"/>
  <c r="V21" i="1"/>
  <c r="W21" i="1"/>
  <c r="I20" i="1"/>
  <c r="H21" i="1"/>
  <c r="J5" i="1"/>
  <c r="O5" i="1"/>
  <c r="P5" i="1"/>
  <c r="Q5" i="1"/>
  <c r="R5" i="1"/>
  <c r="S5" i="1"/>
  <c r="U5" i="1"/>
  <c r="J6" i="1"/>
  <c r="O6" i="1"/>
  <c r="J7" i="1"/>
  <c r="O7" i="1"/>
  <c r="J8" i="1"/>
  <c r="O8" i="1"/>
  <c r="J9" i="1"/>
  <c r="O9" i="1"/>
  <c r="F10" i="1"/>
  <c r="G10" i="1"/>
  <c r="H10" i="1"/>
  <c r="I10" i="1"/>
  <c r="J10" i="1"/>
  <c r="K10" i="1"/>
  <c r="L10" i="1"/>
  <c r="M10" i="1"/>
  <c r="N10" i="1"/>
  <c r="O10" i="1"/>
  <c r="P10" i="1"/>
  <c r="Q10" i="1"/>
  <c r="R10" i="1"/>
  <c r="S10" i="1"/>
  <c r="U10" i="1"/>
  <c r="V10" i="1"/>
  <c r="W10" i="1"/>
  <c r="X10" i="1"/>
  <c r="J11" i="1"/>
  <c r="O11" i="1"/>
  <c r="J12" i="1"/>
  <c r="O12" i="1"/>
  <c r="J13" i="1"/>
  <c r="O13" i="1"/>
  <c r="J14" i="1"/>
  <c r="O14" i="1"/>
  <c r="J15" i="1"/>
  <c r="O15" i="1"/>
  <c r="F4" i="1"/>
  <c r="H4" i="1"/>
  <c r="I4" i="1"/>
  <c r="J4" i="1"/>
  <c r="K4" i="1"/>
  <c r="L4" i="1"/>
  <c r="M4" i="1"/>
  <c r="N4" i="1"/>
  <c r="O4" i="1"/>
  <c r="P4" i="1"/>
  <c r="Q4" i="1"/>
  <c r="R4" i="1"/>
  <c r="S4" i="1"/>
  <c r="U4" i="1"/>
  <c r="V4" i="1"/>
  <c r="W4" i="1"/>
  <c r="X4" i="1"/>
  <c r="F5" i="1"/>
  <c r="C39" i="1" l="1"/>
  <c r="W37" i="1"/>
  <c r="L28" i="1"/>
  <c r="G37" i="1"/>
  <c r="I28" i="1"/>
  <c r="W28" i="1"/>
  <c r="S60" i="1"/>
  <c r="R60" i="1"/>
  <c r="Q60" i="1"/>
  <c r="N60" i="1"/>
  <c r="P60" i="1"/>
  <c r="I60" i="1"/>
  <c r="L37" i="1"/>
  <c r="Q37" i="1"/>
  <c r="P37" i="1"/>
  <c r="K37" i="1"/>
  <c r="V37" i="1"/>
  <c r="S37" i="1"/>
  <c r="R37" i="1"/>
  <c r="N37" i="1"/>
  <c r="M37" i="1"/>
  <c r="H60" i="1"/>
  <c r="P28" i="1"/>
  <c r="N28" i="1"/>
  <c r="M28" i="1"/>
  <c r="S28" i="1"/>
  <c r="Q28" i="1"/>
  <c r="R28" i="1"/>
  <c r="I37" i="1"/>
  <c r="G60" i="1"/>
  <c r="F60" i="1"/>
  <c r="M60" i="1"/>
  <c r="X60" i="1"/>
  <c r="G28" i="1"/>
  <c r="X37" i="1"/>
  <c r="X39" i="1" s="1"/>
  <c r="W60" i="1"/>
  <c r="H37" i="1"/>
  <c r="V60" i="1"/>
  <c r="AF19" i="1"/>
  <c r="U60" i="1"/>
  <c r="K28" i="1"/>
  <c r="H28" i="1"/>
  <c r="F37" i="1"/>
  <c r="AF35" i="1" s="1"/>
  <c r="K60" i="1"/>
  <c r="V28" i="1"/>
  <c r="U37" i="1"/>
  <c r="L60" i="1"/>
  <c r="X23" i="1"/>
  <c r="W19" i="1"/>
  <c r="W23" i="1" s="1"/>
  <c r="N5" i="1"/>
  <c r="M5" i="1"/>
  <c r="C6" i="1"/>
  <c r="C8" i="1"/>
  <c r="L5" i="1"/>
  <c r="C11" i="1"/>
  <c r="I5" i="1"/>
  <c r="X5" i="1"/>
  <c r="H5" i="1"/>
  <c r="W5" i="1"/>
  <c r="G5" i="1"/>
  <c r="K5" i="1"/>
  <c r="V5" i="1"/>
  <c r="W35" i="1" l="1"/>
  <c r="W39" i="1" s="1"/>
  <c r="C61" i="1"/>
  <c r="C52" i="1"/>
  <c r="C45" i="1"/>
  <c r="C7" i="1"/>
  <c r="G7" i="1" s="1"/>
  <c r="C29" i="1"/>
  <c r="AA33" i="1" s="1"/>
  <c r="C69" i="1"/>
  <c r="V35" i="1"/>
  <c r="V39" i="1" s="1"/>
  <c r="V19" i="1"/>
  <c r="U19" i="1" s="1"/>
  <c r="S19" i="1" s="1"/>
  <c r="O25" i="1" s="1"/>
  <c r="I11" i="1"/>
  <c r="U11" i="1"/>
  <c r="X11" i="1"/>
  <c r="F11" i="1"/>
  <c r="V11" i="1"/>
  <c r="H11" i="1"/>
  <c r="N11" i="1"/>
  <c r="P11" i="1"/>
  <c r="Q11" i="1"/>
  <c r="G11" i="1"/>
  <c r="W11" i="1"/>
  <c r="R11" i="1"/>
  <c r="L11" i="1"/>
  <c r="K11" i="1"/>
  <c r="M11" i="1"/>
  <c r="S11" i="1"/>
  <c r="C14" i="1"/>
  <c r="C68" i="1" s="1"/>
  <c r="AA73" i="1" s="1"/>
  <c r="M8" i="1"/>
  <c r="W8" i="1"/>
  <c r="N8" i="1"/>
  <c r="R8" i="1"/>
  <c r="V8" i="1"/>
  <c r="G8" i="1"/>
  <c r="U8" i="1"/>
  <c r="P8" i="1"/>
  <c r="F8" i="1"/>
  <c r="X8" i="1"/>
  <c r="I8" i="1"/>
  <c r="Q8" i="1"/>
  <c r="H8" i="1"/>
  <c r="L8" i="1"/>
  <c r="S8" i="1"/>
  <c r="K8" i="1"/>
  <c r="C12" i="1"/>
  <c r="C53" i="1" s="1"/>
  <c r="AA57" i="1" s="1"/>
  <c r="S6" i="1"/>
  <c r="H6" i="1"/>
  <c r="N6" i="1"/>
  <c r="R6" i="1"/>
  <c r="U6" i="1"/>
  <c r="F6" i="1"/>
  <c r="V6" i="1"/>
  <c r="X6" i="1"/>
  <c r="K6" i="1"/>
  <c r="G6" i="1"/>
  <c r="W6" i="1"/>
  <c r="I6" i="1"/>
  <c r="L6" i="1"/>
  <c r="M6" i="1"/>
  <c r="Q6" i="1"/>
  <c r="P6" i="1"/>
  <c r="X7" i="1"/>
  <c r="N7" i="1"/>
  <c r="Q7" i="1"/>
  <c r="R7" i="1"/>
  <c r="F7" i="1"/>
  <c r="C13" i="1" l="1"/>
  <c r="M7" i="1"/>
  <c r="C9" i="1"/>
  <c r="V7" i="1"/>
  <c r="I7" i="1"/>
  <c r="K7" i="1"/>
  <c r="S7" i="1"/>
  <c r="L7" i="1"/>
  <c r="U7" i="1"/>
  <c r="R29" i="1"/>
  <c r="L29" i="1"/>
  <c r="Q29" i="1"/>
  <c r="P29" i="1"/>
  <c r="N29" i="1"/>
  <c r="C31" i="1"/>
  <c r="M29" i="1"/>
  <c r="K29" i="1"/>
  <c r="X29" i="1"/>
  <c r="S29" i="1"/>
  <c r="I29" i="1"/>
  <c r="U29" i="1"/>
  <c r="G29" i="1"/>
  <c r="F29" i="1"/>
  <c r="H29" i="1"/>
  <c r="V29" i="1"/>
  <c r="W29" i="1"/>
  <c r="R69" i="1"/>
  <c r="Q69" i="1"/>
  <c r="H69" i="1"/>
  <c r="P69" i="1"/>
  <c r="N69" i="1"/>
  <c r="M69" i="1"/>
  <c r="S69" i="1"/>
  <c r="L69" i="1"/>
  <c r="K69" i="1"/>
  <c r="C71" i="1"/>
  <c r="F69" i="1"/>
  <c r="I69" i="1"/>
  <c r="G69" i="1"/>
  <c r="U69" i="1"/>
  <c r="V69" i="1"/>
  <c r="X69" i="1"/>
  <c r="W69" i="1"/>
  <c r="M45" i="1"/>
  <c r="L45" i="1"/>
  <c r="R45" i="1"/>
  <c r="Q45" i="1"/>
  <c r="S45" i="1"/>
  <c r="N45" i="1"/>
  <c r="I45" i="1"/>
  <c r="P45" i="1"/>
  <c r="X45" i="1"/>
  <c r="K45" i="1"/>
  <c r="V45" i="1"/>
  <c r="G45" i="1"/>
  <c r="F45" i="1"/>
  <c r="W45" i="1"/>
  <c r="H45" i="1"/>
  <c r="C47" i="1"/>
  <c r="U45" i="1"/>
  <c r="P7" i="1"/>
  <c r="H7" i="1"/>
  <c r="M53" i="1"/>
  <c r="I53" i="1"/>
  <c r="L53" i="1"/>
  <c r="K53" i="1"/>
  <c r="S53" i="1"/>
  <c r="R53" i="1"/>
  <c r="P53" i="1"/>
  <c r="X53" i="1"/>
  <c r="Q53" i="1"/>
  <c r="N53" i="1"/>
  <c r="C55" i="1"/>
  <c r="H53" i="1"/>
  <c r="W53" i="1"/>
  <c r="V53" i="1"/>
  <c r="U53" i="1"/>
  <c r="F53" i="1"/>
  <c r="G53" i="1"/>
  <c r="Q52" i="1"/>
  <c r="U52" i="1"/>
  <c r="N52" i="1"/>
  <c r="S52" i="1"/>
  <c r="R52" i="1"/>
  <c r="P52" i="1"/>
  <c r="F52" i="1"/>
  <c r="V52" i="1"/>
  <c r="W52" i="1"/>
  <c r="G52" i="1"/>
  <c r="H52" i="1"/>
  <c r="L52" i="1"/>
  <c r="M52" i="1"/>
  <c r="I52" i="1"/>
  <c r="X52" i="1"/>
  <c r="K52" i="1"/>
  <c r="Q68" i="1"/>
  <c r="R68" i="1"/>
  <c r="S68" i="1"/>
  <c r="M68" i="1"/>
  <c r="N68" i="1"/>
  <c r="P68" i="1"/>
  <c r="F68" i="1"/>
  <c r="V68" i="1"/>
  <c r="W68" i="1"/>
  <c r="H68" i="1"/>
  <c r="L68" i="1"/>
  <c r="X68" i="1"/>
  <c r="W67" i="1" s="1"/>
  <c r="U68" i="1"/>
  <c r="G68" i="1"/>
  <c r="I68" i="1"/>
  <c r="K68" i="1"/>
  <c r="P61" i="1"/>
  <c r="I61" i="1"/>
  <c r="S61" i="1"/>
  <c r="L61" i="1"/>
  <c r="M61" i="1"/>
  <c r="R61" i="1"/>
  <c r="Q61" i="1"/>
  <c r="N61" i="1"/>
  <c r="C63" i="1"/>
  <c r="K61" i="1"/>
  <c r="W61" i="1"/>
  <c r="H61" i="1"/>
  <c r="F61" i="1"/>
  <c r="X61" i="1"/>
  <c r="U61" i="1"/>
  <c r="G61" i="1"/>
  <c r="V61" i="1"/>
  <c r="W7" i="1"/>
  <c r="U35" i="1"/>
  <c r="U39" i="1" s="1"/>
  <c r="R19" i="1"/>
  <c r="S23" i="1"/>
  <c r="U23" i="1"/>
  <c r="V23" i="1"/>
  <c r="V9" i="1"/>
  <c r="W9" i="1"/>
  <c r="K9" i="1"/>
  <c r="L9" i="1"/>
  <c r="S9" i="1"/>
  <c r="X9" i="1"/>
  <c r="M9" i="1"/>
  <c r="N9" i="1"/>
  <c r="H9" i="1"/>
  <c r="I9" i="1"/>
  <c r="P9" i="1"/>
  <c r="U9" i="1"/>
  <c r="F9" i="1"/>
  <c r="Q9" i="1"/>
  <c r="R9" i="1"/>
  <c r="G9" i="1"/>
  <c r="Q12" i="1"/>
  <c r="R12" i="1"/>
  <c r="F12" i="1"/>
  <c r="S12" i="1"/>
  <c r="V12" i="1"/>
  <c r="I12" i="1"/>
  <c r="L12" i="1"/>
  <c r="U12" i="1"/>
  <c r="N12" i="1"/>
  <c r="G12" i="1"/>
  <c r="W12" i="1"/>
  <c r="M12" i="1"/>
  <c r="H12" i="1"/>
  <c r="X12" i="1"/>
  <c r="K12" i="1"/>
  <c r="P12" i="1"/>
  <c r="N13" i="1"/>
  <c r="F13" i="1"/>
  <c r="H13" i="1"/>
  <c r="I13" i="1"/>
  <c r="M13" i="1"/>
  <c r="P13" i="1"/>
  <c r="R13" i="1"/>
  <c r="S13" i="1"/>
  <c r="Q13" i="1"/>
  <c r="G13" i="1"/>
  <c r="L13" i="1"/>
  <c r="V13" i="1"/>
  <c r="W13" i="1"/>
  <c r="K13" i="1"/>
  <c r="U13" i="1"/>
  <c r="X13" i="1"/>
  <c r="K14" i="1"/>
  <c r="F14" i="1"/>
  <c r="L14" i="1"/>
  <c r="P14" i="1"/>
  <c r="M14" i="1"/>
  <c r="V14" i="1"/>
  <c r="X14" i="1"/>
  <c r="I14" i="1"/>
  <c r="N14" i="1"/>
  <c r="H14" i="1"/>
  <c r="U14" i="1"/>
  <c r="W14" i="1"/>
  <c r="Q14" i="1"/>
  <c r="R14" i="1"/>
  <c r="S14" i="1"/>
  <c r="G14" i="1"/>
  <c r="C15" i="1"/>
  <c r="V67" i="1" l="1"/>
  <c r="V71" i="1" s="1"/>
  <c r="X55" i="1"/>
  <c r="AF27" i="1"/>
  <c r="AF51" i="1"/>
  <c r="W43" i="1"/>
  <c r="W47" i="1" s="1"/>
  <c r="X47" i="1"/>
  <c r="X31" i="1"/>
  <c r="W27" i="1"/>
  <c r="W31" i="1" s="1"/>
  <c r="AF43" i="1"/>
  <c r="AF67" i="1"/>
  <c r="W51" i="1"/>
  <c r="W55" i="1" s="1"/>
  <c r="X63" i="1"/>
  <c r="W59" i="1"/>
  <c r="W63" i="1" s="1"/>
  <c r="AF59" i="1"/>
  <c r="V51" i="1"/>
  <c r="V55" i="1" s="1"/>
  <c r="W71" i="1"/>
  <c r="X71" i="1"/>
  <c r="S35" i="1"/>
  <c r="Q19" i="1"/>
  <c r="R23" i="1"/>
  <c r="H15" i="1"/>
  <c r="X15" i="1"/>
  <c r="I15" i="1"/>
  <c r="L15" i="1"/>
  <c r="Q15" i="1"/>
  <c r="K15" i="1"/>
  <c r="M15" i="1"/>
  <c r="U15" i="1"/>
  <c r="V15" i="1"/>
  <c r="F15" i="1"/>
  <c r="N15" i="1"/>
  <c r="R15" i="1"/>
  <c r="G15" i="1"/>
  <c r="P15" i="1"/>
  <c r="S15" i="1"/>
  <c r="W15" i="1"/>
  <c r="U67" i="1" l="1"/>
  <c r="V59" i="1"/>
  <c r="V63" i="1" s="1"/>
  <c r="S39" i="1"/>
  <c r="O41" i="1"/>
  <c r="U59" i="1"/>
  <c r="V43" i="1"/>
  <c r="U51" i="1"/>
  <c r="V27" i="1"/>
  <c r="R35" i="1"/>
  <c r="R39" i="1" s="1"/>
  <c r="P19" i="1"/>
  <c r="Q23" i="1"/>
  <c r="Q35" i="1" l="1"/>
  <c r="U71" i="1"/>
  <c r="S67" i="1"/>
  <c r="V31" i="1"/>
  <c r="U27" i="1"/>
  <c r="S51" i="1"/>
  <c r="O57" i="1" s="1"/>
  <c r="U55" i="1"/>
  <c r="V47" i="1"/>
  <c r="U43" i="1"/>
  <c r="S59" i="1"/>
  <c r="O65" i="1" s="1"/>
  <c r="U63" i="1"/>
  <c r="Q39" i="1"/>
  <c r="P35" i="1"/>
  <c r="P23" i="1"/>
  <c r="J25" i="1" s="1"/>
  <c r="N19" i="1"/>
  <c r="N23" i="1" s="1"/>
  <c r="O73" i="1" l="1"/>
  <c r="S71" i="1"/>
  <c r="R67" i="1"/>
  <c r="U31" i="1"/>
  <c r="S27" i="1"/>
  <c r="O33" i="1" s="1"/>
  <c r="R59" i="1"/>
  <c r="S63" i="1"/>
  <c r="U47" i="1"/>
  <c r="S43" i="1"/>
  <c r="O49" i="1" s="1"/>
  <c r="S55" i="1"/>
  <c r="R51" i="1"/>
  <c r="P39" i="1"/>
  <c r="J41" i="1" s="1"/>
  <c r="N35" i="1"/>
  <c r="M19" i="1"/>
  <c r="Q67" i="1" l="1"/>
  <c r="R71" i="1"/>
  <c r="S47" i="1"/>
  <c r="R43" i="1"/>
  <c r="Q51" i="1"/>
  <c r="R55" i="1"/>
  <c r="Q59" i="1"/>
  <c r="R63" i="1"/>
  <c r="S31" i="1"/>
  <c r="R27" i="1"/>
  <c r="N39" i="1"/>
  <c r="M35" i="1"/>
  <c r="L19" i="1"/>
  <c r="M23" i="1"/>
  <c r="Q71" i="1" l="1"/>
  <c r="P67" i="1"/>
  <c r="R31" i="1"/>
  <c r="Q27" i="1"/>
  <c r="Q63" i="1"/>
  <c r="P59" i="1"/>
  <c r="Q55" i="1"/>
  <c r="P51" i="1"/>
  <c r="R47" i="1"/>
  <c r="Q43" i="1"/>
  <c r="M39" i="1"/>
  <c r="L35" i="1"/>
  <c r="K19" i="1"/>
  <c r="L23" i="1"/>
  <c r="P71" i="1" l="1"/>
  <c r="J73" i="1" s="1"/>
  <c r="N67" i="1"/>
  <c r="Q47" i="1"/>
  <c r="P43" i="1"/>
  <c r="P55" i="1"/>
  <c r="J57" i="1" s="1"/>
  <c r="N51" i="1"/>
  <c r="P63" i="1"/>
  <c r="J65" i="1" s="1"/>
  <c r="N59" i="1"/>
  <c r="Q31" i="1"/>
  <c r="P27" i="1"/>
  <c r="L39" i="1"/>
  <c r="K35" i="1"/>
  <c r="K23" i="1"/>
  <c r="I19" i="1"/>
  <c r="I23" i="1" s="1"/>
  <c r="N71" i="1" l="1"/>
  <c r="M67" i="1"/>
  <c r="N27" i="1"/>
  <c r="P31" i="1"/>
  <c r="J33" i="1" s="1"/>
  <c r="N63" i="1"/>
  <c r="M59" i="1"/>
  <c r="M51" i="1"/>
  <c r="N55" i="1"/>
  <c r="N43" i="1"/>
  <c r="P47" i="1"/>
  <c r="J49" i="1" s="1"/>
  <c r="K39" i="1"/>
  <c r="I35" i="1"/>
  <c r="H19" i="1"/>
  <c r="L67" i="1" l="1"/>
  <c r="M71" i="1"/>
  <c r="M43" i="1"/>
  <c r="N47" i="1"/>
  <c r="M55" i="1"/>
  <c r="L51" i="1"/>
  <c r="L59" i="1"/>
  <c r="M63" i="1"/>
  <c r="N31" i="1"/>
  <c r="M27" i="1"/>
  <c r="I39" i="1"/>
  <c r="H35" i="1"/>
  <c r="G19" i="1"/>
  <c r="H23" i="1"/>
  <c r="K67" i="1" l="1"/>
  <c r="L71" i="1"/>
  <c r="M31" i="1"/>
  <c r="L27" i="1"/>
  <c r="L63" i="1"/>
  <c r="K59" i="1"/>
  <c r="L55" i="1"/>
  <c r="K51" i="1"/>
  <c r="M47" i="1"/>
  <c r="L43" i="1"/>
  <c r="H39" i="1"/>
  <c r="G35" i="1"/>
  <c r="F19" i="1"/>
  <c r="G23" i="1"/>
  <c r="K71" i="1" l="1"/>
  <c r="I67" i="1"/>
  <c r="I59" i="1"/>
  <c r="K63" i="1"/>
  <c r="L47" i="1"/>
  <c r="K43" i="1"/>
  <c r="K55" i="1"/>
  <c r="I51" i="1"/>
  <c r="F23" i="1"/>
  <c r="L31" i="1"/>
  <c r="K27" i="1"/>
  <c r="G39" i="1"/>
  <c r="F35" i="1"/>
  <c r="I71" i="1" l="1"/>
  <c r="H67" i="1"/>
  <c r="F39" i="1"/>
  <c r="T25" i="1"/>
  <c r="F25" i="1"/>
  <c r="H51" i="1"/>
  <c r="I55" i="1"/>
  <c r="K31" i="1"/>
  <c r="I27" i="1"/>
  <c r="X25" i="1"/>
  <c r="Z23" i="1"/>
  <c r="I43" i="1"/>
  <c r="K47" i="1"/>
  <c r="I63" i="1"/>
  <c r="H59" i="1"/>
  <c r="H71" i="1" l="1"/>
  <c r="G67" i="1"/>
  <c r="Z39" i="1"/>
  <c r="X41" i="1"/>
  <c r="T41" i="1"/>
  <c r="F41" i="1"/>
  <c r="H63" i="1"/>
  <c r="G59" i="1"/>
  <c r="I47" i="1"/>
  <c r="H43" i="1"/>
  <c r="I31" i="1"/>
  <c r="H27" i="1"/>
  <c r="AF20" i="1"/>
  <c r="AF21" i="1"/>
  <c r="H55" i="1"/>
  <c r="G51" i="1"/>
  <c r="F67" i="1" l="1"/>
  <c r="G71" i="1"/>
  <c r="AF36" i="1"/>
  <c r="AF37" i="1"/>
  <c r="F51" i="1"/>
  <c r="G55" i="1"/>
  <c r="H31" i="1"/>
  <c r="G27" i="1"/>
  <c r="H47" i="1"/>
  <c r="G43" i="1"/>
  <c r="G63" i="1"/>
  <c r="F59" i="1"/>
  <c r="F71" i="1" l="1"/>
  <c r="F63" i="1"/>
  <c r="F55" i="1"/>
  <c r="G47" i="1"/>
  <c r="F43" i="1"/>
  <c r="G31" i="1"/>
  <c r="F27" i="1"/>
  <c r="Z55" i="1"/>
  <c r="Z71" i="1" l="1"/>
  <c r="X73" i="1"/>
  <c r="T73" i="1"/>
  <c r="F73" i="1"/>
  <c r="F47" i="1"/>
  <c r="F31" i="1"/>
  <c r="T57" i="1"/>
  <c r="X57" i="1"/>
  <c r="F57" i="1"/>
  <c r="Z63" i="1"/>
  <c r="X65" i="1"/>
  <c r="T65" i="1"/>
  <c r="F65" i="1"/>
  <c r="AF52" i="1"/>
  <c r="AF53" i="1"/>
  <c r="AF68" i="1" l="1"/>
  <c r="AF69" i="1"/>
  <c r="AF60" i="1"/>
  <c r="AF61" i="1"/>
  <c r="Z31" i="1"/>
  <c r="T33" i="1"/>
  <c r="X33" i="1"/>
  <c r="F33" i="1"/>
  <c r="Z47" i="1"/>
  <c r="X49" i="1"/>
  <c r="T49" i="1"/>
  <c r="F49" i="1"/>
  <c r="AF45" i="1" l="1"/>
  <c r="AF44" i="1"/>
  <c r="AF28" i="1"/>
  <c r="AF29" i="1"/>
</calcChain>
</file>

<file path=xl/sharedStrings.xml><?xml version="1.0" encoding="utf-8"?>
<sst xmlns="http://schemas.openxmlformats.org/spreadsheetml/2006/main" count="311" uniqueCount="69">
  <si>
    <t>A =</t>
  </si>
  <si>
    <t>C =</t>
  </si>
  <si>
    <t>X1 =</t>
  </si>
  <si>
    <t>X2 =</t>
  </si>
  <si>
    <t>X3 =</t>
  </si>
  <si>
    <t>X4 =</t>
  </si>
  <si>
    <t>X5 =</t>
  </si>
  <si>
    <t>X6 =</t>
  </si>
  <si>
    <t>X7 =</t>
  </si>
  <si>
    <t>X8 =</t>
  </si>
  <si>
    <t>X9 =</t>
  </si>
  <si>
    <t>X10 =</t>
  </si>
  <si>
    <t>X11 =</t>
  </si>
  <si>
    <t>X12 =</t>
  </si>
  <si>
    <t>A + C =</t>
  </si>
  <si>
    <t>A + C + C =</t>
  </si>
  <si>
    <t>C - A =</t>
  </si>
  <si>
    <t>65536 - X4 =</t>
  </si>
  <si>
    <t>- X1 =</t>
  </si>
  <si>
    <t xml:space="preserve"> - X2 =</t>
  </si>
  <si>
    <t>- X3 =</t>
  </si>
  <si>
    <t xml:space="preserve"> - X4 =</t>
  </si>
  <si>
    <t>- X5 =</t>
  </si>
  <si>
    <t xml:space="preserve"> - X6 =</t>
  </si>
  <si>
    <t>B1 =</t>
  </si>
  <si>
    <t>B2 =</t>
  </si>
  <si>
    <t>B3 =</t>
  </si>
  <si>
    <t xml:space="preserve">B4 = </t>
  </si>
  <si>
    <t>B5 =</t>
  </si>
  <si>
    <t>B6 =</t>
  </si>
  <si>
    <t>B7 =</t>
  </si>
  <si>
    <t>B8 =</t>
  </si>
  <si>
    <t>B9 =</t>
  </si>
  <si>
    <t>B10 =</t>
  </si>
  <si>
    <t>B11 =</t>
  </si>
  <si>
    <t>B12 =</t>
  </si>
  <si>
    <t>-B2 =</t>
  </si>
  <si>
    <t>-B3 =</t>
  </si>
  <si>
    <t>-B4 =</t>
  </si>
  <si>
    <t>-B5 =</t>
  </si>
  <si>
    <t>-B6 =</t>
  </si>
  <si>
    <t>B1</t>
  </si>
  <si>
    <t>B2</t>
  </si>
  <si>
    <t>-------</t>
  </si>
  <si>
    <t>---</t>
  </si>
  <si>
    <t>.</t>
  </si>
  <si>
    <t>переполнение</t>
  </si>
  <si>
    <r>
      <rPr>
        <sz val="8"/>
        <color theme="1"/>
        <rFont val="Calibri"/>
        <family val="2"/>
        <charset val="204"/>
        <scheme val="minor"/>
      </rPr>
      <t>2</t>
    </r>
    <r>
      <rPr>
        <sz val="11"/>
        <color theme="1"/>
        <rFont val="Calibri"/>
        <family val="2"/>
        <scheme val="minor"/>
      </rPr>
      <t>=</t>
    </r>
  </si>
  <si>
    <t>X1</t>
  </si>
  <si>
    <t>----------</t>
  </si>
  <si>
    <t>-------------------</t>
  </si>
  <si>
    <t>-B1 =</t>
  </si>
  <si>
    <t>+                    B2</t>
  </si>
  <si>
    <t>+             X2</t>
  </si>
  <si>
    <t>---------------</t>
  </si>
  <si>
    <t>+                    B3</t>
  </si>
  <si>
    <t>+                    B7</t>
  </si>
  <si>
    <t>B7</t>
  </si>
  <si>
    <t>+                    B8</t>
  </si>
  <si>
    <t>B8</t>
  </si>
  <si>
    <t>+                    B9</t>
  </si>
  <si>
    <t>B11</t>
  </si>
  <si>
    <t xml:space="preserve">CF = </t>
  </si>
  <si>
    <t>PF=</t>
  </si>
  <si>
    <t>AF=</t>
  </si>
  <si>
    <t>ZF=</t>
  </si>
  <si>
    <t>SF=</t>
  </si>
  <si>
    <t>OF=</t>
  </si>
  <si>
    <t>область допустимых значений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</si>
</sst>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right"/>
    </xf>
    <xf numFmtId="0" fontId="0" fillId="0" borderId="0" xfId="0" quotePrefix="1" applyAlignment="1">
      <alignment horizontal="right"/>
    </xf>
    <xf numFmtId="0" fontId="0" fillId="0" borderId="0" xfId="0" quotePrefix="1"/>
    <xf numFmtId="0" fontId="0" fillId="0" borderId="0" xfId="0" applyAlignment="1">
      <alignment horizontal="right" wrapText="1"/>
    </xf>
    <xf numFmtId="0" fontId="2" fillId="0" borderId="0" xfId="0" applyFont="1"/>
    <xf numFmtId="0" fontId="0" fillId="0" borderId="0" xfId="0" applyAlignment="1">
      <alignment wrapText="1"/>
    </xf>
    <xf numFmtId="0" fontId="0" fillId="0" borderId="0" xfId="0" applyAlignment="1">
      <alignment horizontal="left"/>
    </xf>
    <xf numFmtId="0" fontId="0" fillId="0" borderId="0" xfId="0" applyFill="1" applyAlignment="1">
      <alignment horizontal="right"/>
    </xf>
    <xf numFmtId="0" fontId="0" fillId="0" borderId="0" xfId="0" applyFill="1"/>
    <xf numFmtId="0" fontId="0" fillId="0" borderId="0" xfId="0" quotePrefix="1" applyFill="1" applyAlignment="1">
      <alignment horizontal="right"/>
    </xf>
    <xf numFmtId="0" fontId="0" fillId="0" borderId="0" xfId="0" applyAlignment="1">
      <alignment horizontal="left" vertical="top" wrapText="1"/>
    </xf>
  </cellXfs>
  <cellStyles count="1">
    <cellStyle name="Обычный" xfId="0" builtinId="0"/>
  </cellStyles>
  <dxfs count="1">
    <dxf>
      <fill>
        <patternFill>
          <bgColor theme="4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73"/>
  <sheetViews>
    <sheetView tabSelected="1" view="pageLayout" topLeftCell="A74" zoomScaleNormal="100" workbookViewId="0">
      <selection activeCell="C2" sqref="C2"/>
    </sheetView>
  </sheetViews>
  <sheetFormatPr defaultRowHeight="14.4" x14ac:dyDescent="0.3"/>
  <cols>
    <col min="1" max="1" width="5.44140625" bestFit="1" customWidth="1"/>
    <col min="2" max="2" width="12.33203125" customWidth="1"/>
    <col min="4" max="4" width="13.5546875" customWidth="1"/>
    <col min="5" max="5" width="5.6640625" bestFit="1" customWidth="1"/>
    <col min="6" max="6" width="3" bestFit="1" customWidth="1"/>
    <col min="7" max="24" width="2.109375" customWidth="1"/>
    <col min="25" max="25" width="2.6640625" customWidth="1"/>
    <col min="26" max="26" width="6.6640625" bestFit="1" customWidth="1"/>
    <col min="27" max="27" width="2" bestFit="1" customWidth="1"/>
    <col min="28" max="28" width="2.33203125" bestFit="1" customWidth="1"/>
    <col min="29" max="29" width="4.109375" customWidth="1"/>
    <col min="30" max="30" width="7.21875" customWidth="1"/>
    <col min="32" max="32" width="51.44140625" customWidth="1"/>
  </cols>
  <sheetData>
    <row r="1" spans="1:24" x14ac:dyDescent="0.3">
      <c r="B1" s="1" t="s">
        <v>0</v>
      </c>
      <c r="C1">
        <v>70000000</v>
      </c>
    </row>
    <row r="2" spans="1:24" x14ac:dyDescent="0.3">
      <c r="B2" s="1" t="s">
        <v>1</v>
      </c>
      <c r="C2">
        <v>25531</v>
      </c>
    </row>
    <row r="3" spans="1:24" x14ac:dyDescent="0.3">
      <c r="F3">
        <v>15</v>
      </c>
      <c r="G3">
        <v>14</v>
      </c>
      <c r="H3">
        <v>13</v>
      </c>
      <c r="I3">
        <v>12</v>
      </c>
      <c r="K3">
        <v>11</v>
      </c>
      <c r="L3">
        <v>10</v>
      </c>
      <c r="M3">
        <v>9</v>
      </c>
      <c r="N3">
        <v>8</v>
      </c>
      <c r="P3">
        <v>7</v>
      </c>
      <c r="Q3">
        <v>6</v>
      </c>
      <c r="R3">
        <v>5</v>
      </c>
      <c r="S3">
        <v>4</v>
      </c>
      <c r="U3">
        <v>3</v>
      </c>
      <c r="V3">
        <v>2</v>
      </c>
      <c r="W3">
        <v>1</v>
      </c>
      <c r="X3">
        <v>0</v>
      </c>
    </row>
    <row r="4" spans="1:24" x14ac:dyDescent="0.3">
      <c r="A4" s="1" t="s">
        <v>2</v>
      </c>
      <c r="B4" s="1" t="s">
        <v>0</v>
      </c>
      <c r="C4">
        <f>C1</f>
        <v>70000000</v>
      </c>
      <c r="D4" s="1" t="s">
        <v>24</v>
      </c>
      <c r="F4">
        <f t="shared" ref="F4:O15" si="0">IF(ISBLANK(F$3),".",QUOTIENT(MOD($C4,POWER(2,F$3+1)),POWER(2,F$3)))</f>
        <v>0</v>
      </c>
      <c r="G4">
        <f t="shared" si="0"/>
        <v>0</v>
      </c>
      <c r="H4">
        <f t="shared" si="0"/>
        <v>0</v>
      </c>
      <c r="I4">
        <f t="shared" si="0"/>
        <v>1</v>
      </c>
      <c r="J4" t="str">
        <f t="shared" si="0"/>
        <v>.</v>
      </c>
      <c r="K4">
        <f t="shared" si="0"/>
        <v>1</v>
      </c>
      <c r="L4">
        <f t="shared" si="0"/>
        <v>1</v>
      </c>
      <c r="M4">
        <f t="shared" si="0"/>
        <v>0</v>
      </c>
      <c r="N4">
        <f t="shared" si="0"/>
        <v>1</v>
      </c>
      <c r="O4" t="str">
        <f t="shared" si="0"/>
        <v>.</v>
      </c>
      <c r="P4">
        <f t="shared" ref="P4:W15" si="1">IF(ISBLANK(P$3),".",QUOTIENT(MOD($C4,POWER(2,P$3+1)),POWER(2,P$3)))</f>
        <v>1</v>
      </c>
      <c r="Q4">
        <f t="shared" si="1"/>
        <v>0</v>
      </c>
      <c r="R4">
        <f t="shared" si="1"/>
        <v>0</v>
      </c>
      <c r="S4">
        <f t="shared" si="1"/>
        <v>0</v>
      </c>
      <c r="T4" t="str">
        <f t="shared" si="1"/>
        <v>.</v>
      </c>
      <c r="U4">
        <f t="shared" si="1"/>
        <v>0</v>
      </c>
      <c r="V4">
        <f t="shared" si="1"/>
        <v>0</v>
      </c>
      <c r="W4">
        <f t="shared" si="1"/>
        <v>0</v>
      </c>
      <c r="X4">
        <f t="shared" ref="X4:X15" si="2">MOD(C4,2)</f>
        <v>0</v>
      </c>
    </row>
    <row r="5" spans="1:24" x14ac:dyDescent="0.3">
      <c r="A5" s="1" t="s">
        <v>3</v>
      </c>
      <c r="B5" s="1" t="s">
        <v>1</v>
      </c>
      <c r="C5">
        <f>C2</f>
        <v>25531</v>
      </c>
      <c r="D5" s="8" t="s">
        <v>25</v>
      </c>
      <c r="E5" s="9"/>
      <c r="F5" s="9">
        <f t="shared" si="0"/>
        <v>0</v>
      </c>
      <c r="G5" s="9">
        <f t="shared" si="0"/>
        <v>1</v>
      </c>
      <c r="H5" s="9">
        <f t="shared" si="0"/>
        <v>1</v>
      </c>
      <c r="I5" s="9">
        <f t="shared" si="0"/>
        <v>0</v>
      </c>
      <c r="J5" s="9" t="str">
        <f t="shared" si="0"/>
        <v>.</v>
      </c>
      <c r="K5" s="9">
        <f t="shared" si="0"/>
        <v>0</v>
      </c>
      <c r="L5" s="9">
        <f t="shared" si="0"/>
        <v>0</v>
      </c>
      <c r="M5" s="9">
        <f t="shared" si="0"/>
        <v>1</v>
      </c>
      <c r="N5" s="9">
        <f t="shared" si="0"/>
        <v>1</v>
      </c>
      <c r="O5" s="9" t="str">
        <f t="shared" si="0"/>
        <v>.</v>
      </c>
      <c r="P5" s="9">
        <f t="shared" si="1"/>
        <v>1</v>
      </c>
      <c r="Q5" s="9">
        <f t="shared" si="1"/>
        <v>0</v>
      </c>
      <c r="R5" s="9">
        <f t="shared" si="1"/>
        <v>1</v>
      </c>
      <c r="S5" s="9">
        <f t="shared" si="1"/>
        <v>1</v>
      </c>
      <c r="T5" s="9" t="str">
        <f t="shared" si="1"/>
        <v>.</v>
      </c>
      <c r="U5" s="9">
        <f t="shared" si="1"/>
        <v>1</v>
      </c>
      <c r="V5" s="9">
        <f t="shared" si="1"/>
        <v>0</v>
      </c>
      <c r="W5" s="9">
        <f t="shared" si="1"/>
        <v>1</v>
      </c>
      <c r="X5" s="9">
        <f t="shared" si="2"/>
        <v>1</v>
      </c>
    </row>
    <row r="6" spans="1:24" x14ac:dyDescent="0.3">
      <c r="A6" s="1" t="s">
        <v>4</v>
      </c>
      <c r="B6" s="1" t="s">
        <v>14</v>
      </c>
      <c r="C6">
        <f>C5+C4</f>
        <v>70025531</v>
      </c>
      <c r="D6" s="1" t="s">
        <v>26</v>
      </c>
      <c r="F6">
        <f t="shared" si="0"/>
        <v>1</v>
      </c>
      <c r="G6">
        <f t="shared" si="0"/>
        <v>0</v>
      </c>
      <c r="H6">
        <f t="shared" si="0"/>
        <v>0</v>
      </c>
      <c r="I6">
        <f t="shared" si="0"/>
        <v>0</v>
      </c>
      <c r="J6" t="str">
        <f t="shared" si="0"/>
        <v>.</v>
      </c>
      <c r="K6">
        <f t="shared" si="0"/>
        <v>0</v>
      </c>
      <c r="L6">
        <f t="shared" si="0"/>
        <v>0</v>
      </c>
      <c r="M6">
        <f t="shared" si="0"/>
        <v>0</v>
      </c>
      <c r="N6">
        <f t="shared" si="0"/>
        <v>1</v>
      </c>
      <c r="O6" t="str">
        <f t="shared" si="0"/>
        <v>.</v>
      </c>
      <c r="P6">
        <f t="shared" si="1"/>
        <v>0</v>
      </c>
      <c r="Q6">
        <f t="shared" si="1"/>
        <v>0</v>
      </c>
      <c r="R6">
        <f t="shared" si="1"/>
        <v>1</v>
      </c>
      <c r="S6">
        <f t="shared" si="1"/>
        <v>1</v>
      </c>
      <c r="T6" t="str">
        <f t="shared" si="1"/>
        <v>.</v>
      </c>
      <c r="U6">
        <f t="shared" si="1"/>
        <v>1</v>
      </c>
      <c r="V6">
        <f t="shared" si="1"/>
        <v>0</v>
      </c>
      <c r="W6">
        <f t="shared" si="1"/>
        <v>1</v>
      </c>
      <c r="X6">
        <f t="shared" si="2"/>
        <v>1</v>
      </c>
    </row>
    <row r="7" spans="1:24" x14ac:dyDescent="0.3">
      <c r="A7" s="1" t="s">
        <v>5</v>
      </c>
      <c r="B7" s="1" t="s">
        <v>15</v>
      </c>
      <c r="C7">
        <f>C6+C5</f>
        <v>70051062</v>
      </c>
      <c r="D7" s="1" t="s">
        <v>27</v>
      </c>
      <c r="F7">
        <f t="shared" si="0"/>
        <v>1</v>
      </c>
      <c r="G7">
        <f t="shared" si="0"/>
        <v>1</v>
      </c>
      <c r="H7">
        <f t="shared" si="0"/>
        <v>1</v>
      </c>
      <c r="I7">
        <f t="shared" si="0"/>
        <v>0</v>
      </c>
      <c r="J7" t="str">
        <f t="shared" si="0"/>
        <v>.</v>
      </c>
      <c r="K7">
        <f t="shared" si="0"/>
        <v>0</v>
      </c>
      <c r="L7">
        <f t="shared" si="0"/>
        <v>1</v>
      </c>
      <c r="M7">
        <f t="shared" si="0"/>
        <v>0</v>
      </c>
      <c r="N7">
        <f t="shared" si="0"/>
        <v>0</v>
      </c>
      <c r="O7" t="str">
        <f t="shared" si="0"/>
        <v>.</v>
      </c>
      <c r="P7">
        <f t="shared" si="1"/>
        <v>1</v>
      </c>
      <c r="Q7">
        <f t="shared" si="1"/>
        <v>1</v>
      </c>
      <c r="R7">
        <f t="shared" si="1"/>
        <v>1</v>
      </c>
      <c r="S7">
        <f t="shared" si="1"/>
        <v>1</v>
      </c>
      <c r="T7" t="str">
        <f t="shared" si="1"/>
        <v>.</v>
      </c>
      <c r="U7">
        <f t="shared" si="1"/>
        <v>0</v>
      </c>
      <c r="V7">
        <f t="shared" si="1"/>
        <v>1</v>
      </c>
      <c r="W7">
        <f t="shared" si="1"/>
        <v>1</v>
      </c>
      <c r="X7">
        <f t="shared" si="2"/>
        <v>0</v>
      </c>
    </row>
    <row r="8" spans="1:24" x14ac:dyDescent="0.3">
      <c r="A8" s="1" t="s">
        <v>6</v>
      </c>
      <c r="B8" s="1" t="s">
        <v>16</v>
      </c>
      <c r="C8">
        <f>C5-C4</f>
        <v>-69974469</v>
      </c>
      <c r="D8" s="1" t="s">
        <v>28</v>
      </c>
      <c r="F8">
        <f t="shared" si="0"/>
        <v>0</v>
      </c>
      <c r="G8">
        <f t="shared" si="0"/>
        <v>1</v>
      </c>
      <c r="H8">
        <f t="shared" si="0"/>
        <v>0</v>
      </c>
      <c r="I8">
        <f t="shared" si="0"/>
        <v>0</v>
      </c>
      <c r="J8" t="str">
        <f t="shared" si="0"/>
        <v>.</v>
      </c>
      <c r="K8">
        <f t="shared" si="0"/>
        <v>0</v>
      </c>
      <c r="L8">
        <f t="shared" si="0"/>
        <v>1</v>
      </c>
      <c r="M8">
        <f t="shared" si="0"/>
        <v>1</v>
      </c>
      <c r="N8">
        <f t="shared" si="0"/>
        <v>0</v>
      </c>
      <c r="O8" t="str">
        <f t="shared" si="0"/>
        <v>.</v>
      </c>
      <c r="P8">
        <f t="shared" si="1"/>
        <v>0</v>
      </c>
      <c r="Q8">
        <f t="shared" si="1"/>
        <v>0</v>
      </c>
      <c r="R8">
        <f t="shared" si="1"/>
        <v>1</v>
      </c>
      <c r="S8">
        <f t="shared" si="1"/>
        <v>1</v>
      </c>
      <c r="T8" t="str">
        <f t="shared" si="1"/>
        <v>.</v>
      </c>
      <c r="U8">
        <f t="shared" si="1"/>
        <v>1</v>
      </c>
      <c r="V8">
        <f t="shared" si="1"/>
        <v>0</v>
      </c>
      <c r="W8">
        <f t="shared" si="1"/>
        <v>1</v>
      </c>
      <c r="X8">
        <f t="shared" si="2"/>
        <v>1</v>
      </c>
    </row>
    <row r="9" spans="1:24" x14ac:dyDescent="0.3">
      <c r="A9" s="1" t="s">
        <v>7</v>
      </c>
      <c r="B9" s="1" t="s">
        <v>17</v>
      </c>
      <c r="C9">
        <f>65536 - C7</f>
        <v>-69985526</v>
      </c>
      <c r="D9" s="1" t="s">
        <v>29</v>
      </c>
      <c r="F9">
        <f t="shared" si="0"/>
        <v>0</v>
      </c>
      <c r="G9">
        <f t="shared" si="0"/>
        <v>0</v>
      </c>
      <c r="H9">
        <f t="shared" si="0"/>
        <v>0</v>
      </c>
      <c r="I9">
        <f t="shared" si="0"/>
        <v>1</v>
      </c>
      <c r="J9" t="str">
        <f t="shared" si="0"/>
        <v>.</v>
      </c>
      <c r="K9">
        <f t="shared" si="0"/>
        <v>1</v>
      </c>
      <c r="L9">
        <f t="shared" si="0"/>
        <v>0</v>
      </c>
      <c r="M9">
        <f t="shared" si="0"/>
        <v>1</v>
      </c>
      <c r="N9">
        <f t="shared" si="0"/>
        <v>1</v>
      </c>
      <c r="O9" t="str">
        <f t="shared" si="0"/>
        <v>.</v>
      </c>
      <c r="P9">
        <f t="shared" si="1"/>
        <v>0</v>
      </c>
      <c r="Q9">
        <f t="shared" si="1"/>
        <v>0</v>
      </c>
      <c r="R9">
        <f t="shared" si="1"/>
        <v>0</v>
      </c>
      <c r="S9">
        <f t="shared" si="1"/>
        <v>0</v>
      </c>
      <c r="T9" t="str">
        <f t="shared" si="1"/>
        <v>.</v>
      </c>
      <c r="U9">
        <f t="shared" si="1"/>
        <v>1</v>
      </c>
      <c r="V9">
        <f t="shared" si="1"/>
        <v>0</v>
      </c>
      <c r="W9">
        <f t="shared" si="1"/>
        <v>1</v>
      </c>
      <c r="X9">
        <f t="shared" si="2"/>
        <v>0</v>
      </c>
    </row>
    <row r="10" spans="1:24" x14ac:dyDescent="0.3">
      <c r="A10" s="1" t="s">
        <v>8</v>
      </c>
      <c r="B10" s="2" t="s">
        <v>18</v>
      </c>
      <c r="C10">
        <f>-C4</f>
        <v>-70000000</v>
      </c>
      <c r="D10" s="1" t="s">
        <v>30</v>
      </c>
      <c r="E10" s="2" t="s">
        <v>51</v>
      </c>
      <c r="F10">
        <f t="shared" si="0"/>
        <v>1</v>
      </c>
      <c r="G10">
        <f t="shared" si="0"/>
        <v>1</v>
      </c>
      <c r="H10">
        <f t="shared" si="0"/>
        <v>1</v>
      </c>
      <c r="I10">
        <f t="shared" si="0"/>
        <v>0</v>
      </c>
      <c r="J10" t="str">
        <f t="shared" si="0"/>
        <v>.</v>
      </c>
      <c r="K10">
        <f t="shared" si="0"/>
        <v>0</v>
      </c>
      <c r="L10">
        <f t="shared" si="0"/>
        <v>0</v>
      </c>
      <c r="M10">
        <f t="shared" si="0"/>
        <v>1</v>
      </c>
      <c r="N10">
        <f t="shared" si="0"/>
        <v>0</v>
      </c>
      <c r="O10" t="str">
        <f t="shared" si="0"/>
        <v>.</v>
      </c>
      <c r="P10">
        <f t="shared" si="1"/>
        <v>1</v>
      </c>
      <c r="Q10">
        <f t="shared" si="1"/>
        <v>0</v>
      </c>
      <c r="R10">
        <f t="shared" si="1"/>
        <v>0</v>
      </c>
      <c r="S10">
        <f t="shared" si="1"/>
        <v>0</v>
      </c>
      <c r="T10" t="str">
        <f t="shared" si="1"/>
        <v>.</v>
      </c>
      <c r="U10">
        <f t="shared" si="1"/>
        <v>0</v>
      </c>
      <c r="V10">
        <f t="shared" si="1"/>
        <v>0</v>
      </c>
      <c r="W10">
        <f t="shared" si="1"/>
        <v>0</v>
      </c>
      <c r="X10">
        <f t="shared" si="2"/>
        <v>0</v>
      </c>
    </row>
    <row r="11" spans="1:24" x14ac:dyDescent="0.3">
      <c r="A11" s="1" t="s">
        <v>9</v>
      </c>
      <c r="B11" s="2" t="s">
        <v>19</v>
      </c>
      <c r="C11">
        <f t="shared" ref="C11:C15" si="3">-C5</f>
        <v>-25531</v>
      </c>
      <c r="D11" s="8" t="s">
        <v>31</v>
      </c>
      <c r="E11" s="10" t="s">
        <v>36</v>
      </c>
      <c r="F11" s="9">
        <f t="shared" si="0"/>
        <v>1</v>
      </c>
      <c r="G11" s="9">
        <f t="shared" si="0"/>
        <v>0</v>
      </c>
      <c r="H11" s="9">
        <f t="shared" si="0"/>
        <v>0</v>
      </c>
      <c r="I11" s="9">
        <f t="shared" si="0"/>
        <v>1</v>
      </c>
      <c r="J11" s="9" t="str">
        <f t="shared" si="0"/>
        <v>.</v>
      </c>
      <c r="K11" s="9">
        <f t="shared" si="0"/>
        <v>1</v>
      </c>
      <c r="L11" s="9">
        <f t="shared" si="0"/>
        <v>1</v>
      </c>
      <c r="M11" s="9">
        <f t="shared" si="0"/>
        <v>0</v>
      </c>
      <c r="N11" s="9">
        <f t="shared" si="0"/>
        <v>0</v>
      </c>
      <c r="O11" s="9" t="str">
        <f t="shared" si="0"/>
        <v>.</v>
      </c>
      <c r="P11" s="9">
        <f t="shared" si="1"/>
        <v>0</v>
      </c>
      <c r="Q11" s="9">
        <f t="shared" si="1"/>
        <v>1</v>
      </c>
      <c r="R11" s="9">
        <f t="shared" si="1"/>
        <v>0</v>
      </c>
      <c r="S11" s="9">
        <f t="shared" si="1"/>
        <v>0</v>
      </c>
      <c r="T11" s="9" t="str">
        <f t="shared" si="1"/>
        <v>.</v>
      </c>
      <c r="U11" s="9">
        <f t="shared" si="1"/>
        <v>0</v>
      </c>
      <c r="V11" s="9">
        <f t="shared" si="1"/>
        <v>1</v>
      </c>
      <c r="W11" s="9">
        <f t="shared" si="1"/>
        <v>0</v>
      </c>
      <c r="X11" s="9">
        <f t="shared" si="2"/>
        <v>1</v>
      </c>
    </row>
    <row r="12" spans="1:24" x14ac:dyDescent="0.3">
      <c r="A12" s="1" t="s">
        <v>10</v>
      </c>
      <c r="B12" s="2" t="s">
        <v>20</v>
      </c>
      <c r="C12">
        <f t="shared" si="3"/>
        <v>-70025531</v>
      </c>
      <c r="D12" s="1" t="s">
        <v>32</v>
      </c>
      <c r="E12" s="2" t="s">
        <v>37</v>
      </c>
      <c r="F12">
        <f t="shared" si="0"/>
        <v>0</v>
      </c>
      <c r="G12">
        <f t="shared" si="0"/>
        <v>1</v>
      </c>
      <c r="H12">
        <f t="shared" si="0"/>
        <v>1</v>
      </c>
      <c r="I12">
        <f t="shared" si="0"/>
        <v>1</v>
      </c>
      <c r="J12" t="str">
        <f t="shared" si="0"/>
        <v>.</v>
      </c>
      <c r="K12">
        <f t="shared" si="0"/>
        <v>1</v>
      </c>
      <c r="L12">
        <f t="shared" si="0"/>
        <v>1</v>
      </c>
      <c r="M12">
        <f t="shared" si="0"/>
        <v>1</v>
      </c>
      <c r="N12">
        <f t="shared" si="0"/>
        <v>0</v>
      </c>
      <c r="O12" t="str">
        <f t="shared" si="0"/>
        <v>.</v>
      </c>
      <c r="P12">
        <f t="shared" si="1"/>
        <v>1</v>
      </c>
      <c r="Q12">
        <f t="shared" si="1"/>
        <v>1</v>
      </c>
      <c r="R12">
        <f t="shared" si="1"/>
        <v>0</v>
      </c>
      <c r="S12">
        <f t="shared" si="1"/>
        <v>0</v>
      </c>
      <c r="T12" t="str">
        <f t="shared" si="1"/>
        <v>.</v>
      </c>
      <c r="U12">
        <f t="shared" si="1"/>
        <v>0</v>
      </c>
      <c r="V12">
        <f t="shared" si="1"/>
        <v>1</v>
      </c>
      <c r="W12">
        <f t="shared" si="1"/>
        <v>0</v>
      </c>
      <c r="X12">
        <f t="shared" si="2"/>
        <v>1</v>
      </c>
    </row>
    <row r="13" spans="1:24" x14ac:dyDescent="0.3">
      <c r="A13" s="1" t="s">
        <v>11</v>
      </c>
      <c r="B13" s="2" t="s">
        <v>21</v>
      </c>
      <c r="C13">
        <f t="shared" si="3"/>
        <v>-70051062</v>
      </c>
      <c r="D13" s="1" t="s">
        <v>33</v>
      </c>
      <c r="E13" s="2" t="s">
        <v>38</v>
      </c>
      <c r="F13">
        <f t="shared" si="0"/>
        <v>0</v>
      </c>
      <c r="G13">
        <f t="shared" si="0"/>
        <v>0</v>
      </c>
      <c r="H13">
        <f t="shared" si="0"/>
        <v>0</v>
      </c>
      <c r="I13">
        <f t="shared" si="0"/>
        <v>1</v>
      </c>
      <c r="J13" t="str">
        <f t="shared" si="0"/>
        <v>.</v>
      </c>
      <c r="K13">
        <f t="shared" si="0"/>
        <v>1</v>
      </c>
      <c r="L13">
        <f t="shared" si="0"/>
        <v>0</v>
      </c>
      <c r="M13">
        <f t="shared" si="0"/>
        <v>1</v>
      </c>
      <c r="N13">
        <f t="shared" si="0"/>
        <v>1</v>
      </c>
      <c r="O13" t="str">
        <f t="shared" si="0"/>
        <v>.</v>
      </c>
      <c r="P13">
        <f t="shared" si="1"/>
        <v>0</v>
      </c>
      <c r="Q13">
        <f t="shared" si="1"/>
        <v>0</v>
      </c>
      <c r="R13">
        <f t="shared" si="1"/>
        <v>0</v>
      </c>
      <c r="S13">
        <f t="shared" si="1"/>
        <v>0</v>
      </c>
      <c r="T13" t="str">
        <f t="shared" si="1"/>
        <v>.</v>
      </c>
      <c r="U13">
        <f t="shared" si="1"/>
        <v>1</v>
      </c>
      <c r="V13">
        <f t="shared" si="1"/>
        <v>0</v>
      </c>
      <c r="W13">
        <f t="shared" si="1"/>
        <v>1</v>
      </c>
      <c r="X13">
        <f t="shared" si="2"/>
        <v>0</v>
      </c>
    </row>
    <row r="14" spans="1:24" x14ac:dyDescent="0.3">
      <c r="A14" s="1" t="s">
        <v>12</v>
      </c>
      <c r="B14" s="2" t="s">
        <v>22</v>
      </c>
      <c r="C14">
        <f t="shared" si="3"/>
        <v>69974469</v>
      </c>
      <c r="D14" s="1" t="s">
        <v>34</v>
      </c>
      <c r="E14" s="2" t="s">
        <v>39</v>
      </c>
      <c r="F14">
        <f t="shared" si="0"/>
        <v>1</v>
      </c>
      <c r="G14">
        <f t="shared" si="0"/>
        <v>0</v>
      </c>
      <c r="H14">
        <f t="shared" si="0"/>
        <v>1</v>
      </c>
      <c r="I14">
        <f t="shared" si="0"/>
        <v>1</v>
      </c>
      <c r="J14" t="str">
        <f t="shared" si="0"/>
        <v>.</v>
      </c>
      <c r="K14">
        <f t="shared" si="0"/>
        <v>1</v>
      </c>
      <c r="L14">
        <f t="shared" si="0"/>
        <v>0</v>
      </c>
      <c r="M14">
        <f t="shared" si="0"/>
        <v>0</v>
      </c>
      <c r="N14">
        <f t="shared" si="0"/>
        <v>1</v>
      </c>
      <c r="O14" t="str">
        <f t="shared" si="0"/>
        <v>.</v>
      </c>
      <c r="P14">
        <f t="shared" si="1"/>
        <v>1</v>
      </c>
      <c r="Q14">
        <f t="shared" si="1"/>
        <v>1</v>
      </c>
      <c r="R14">
        <f t="shared" si="1"/>
        <v>0</v>
      </c>
      <c r="S14">
        <f t="shared" si="1"/>
        <v>0</v>
      </c>
      <c r="T14" t="str">
        <f t="shared" si="1"/>
        <v>.</v>
      </c>
      <c r="U14">
        <f t="shared" si="1"/>
        <v>0</v>
      </c>
      <c r="V14">
        <f t="shared" si="1"/>
        <v>1</v>
      </c>
      <c r="W14">
        <f t="shared" si="1"/>
        <v>0</v>
      </c>
      <c r="X14">
        <f t="shared" si="2"/>
        <v>1</v>
      </c>
    </row>
    <row r="15" spans="1:24" x14ac:dyDescent="0.3">
      <c r="A15" s="1" t="s">
        <v>13</v>
      </c>
      <c r="B15" s="2" t="s">
        <v>23</v>
      </c>
      <c r="C15">
        <f t="shared" si="3"/>
        <v>69985526</v>
      </c>
      <c r="D15" s="1" t="s">
        <v>35</v>
      </c>
      <c r="E15" s="2" t="s">
        <v>40</v>
      </c>
      <c r="F15">
        <f t="shared" si="0"/>
        <v>1</v>
      </c>
      <c r="G15">
        <f t="shared" si="0"/>
        <v>1</v>
      </c>
      <c r="H15">
        <f t="shared" si="0"/>
        <v>1</v>
      </c>
      <c r="I15">
        <f t="shared" si="0"/>
        <v>0</v>
      </c>
      <c r="J15" t="str">
        <f t="shared" si="0"/>
        <v>.</v>
      </c>
      <c r="K15">
        <f t="shared" si="0"/>
        <v>0</v>
      </c>
      <c r="L15">
        <f t="shared" si="0"/>
        <v>1</v>
      </c>
      <c r="M15">
        <f t="shared" si="0"/>
        <v>0</v>
      </c>
      <c r="N15">
        <f t="shared" si="0"/>
        <v>0</v>
      </c>
      <c r="O15" t="str">
        <f t="shared" si="0"/>
        <v>.</v>
      </c>
      <c r="P15">
        <f t="shared" si="1"/>
        <v>1</v>
      </c>
      <c r="Q15">
        <f t="shared" si="1"/>
        <v>1</v>
      </c>
      <c r="R15">
        <f t="shared" si="1"/>
        <v>1</v>
      </c>
      <c r="S15">
        <f t="shared" si="1"/>
        <v>1</v>
      </c>
      <c r="T15" t="str">
        <f t="shared" si="1"/>
        <v>.</v>
      </c>
      <c r="U15">
        <f t="shared" si="1"/>
        <v>0</v>
      </c>
      <c r="V15">
        <f t="shared" si="1"/>
        <v>1</v>
      </c>
      <c r="W15">
        <f t="shared" si="1"/>
        <v>1</v>
      </c>
      <c r="X15">
        <f t="shared" si="2"/>
        <v>0</v>
      </c>
    </row>
    <row r="17" spans="1:32" ht="43.2" x14ac:dyDescent="0.3">
      <c r="B17" s="4" t="s">
        <v>68</v>
      </c>
      <c r="C17">
        <f>-POWER(2,16) /2</f>
        <v>-32768</v>
      </c>
      <c r="D17">
        <f>POWER(2,16) /2</f>
        <v>32768</v>
      </c>
    </row>
    <row r="19" spans="1:32" ht="14.4" customHeight="1" x14ac:dyDescent="0.3">
      <c r="D19" s="4" t="s">
        <v>46</v>
      </c>
      <c r="F19">
        <f t="shared" ref="F19:V19" si="4">QUOTIENT(G20+G21+G19,2)</f>
        <v>1</v>
      </c>
      <c r="G19">
        <f t="shared" si="4"/>
        <v>1</v>
      </c>
      <c r="H19">
        <f t="shared" si="4"/>
        <v>1</v>
      </c>
      <c r="I19">
        <f>QUOTIENT(K20+K21+K19,2)</f>
        <v>1</v>
      </c>
      <c r="K19">
        <f t="shared" si="4"/>
        <v>1</v>
      </c>
      <c r="L19">
        <f t="shared" si="4"/>
        <v>1</v>
      </c>
      <c r="M19">
        <f>QUOTIENT(N20+N21+N19,2)</f>
        <v>1</v>
      </c>
      <c r="N19">
        <f>QUOTIENT(P20+P21+P19,2)</f>
        <v>1</v>
      </c>
      <c r="P19">
        <f t="shared" si="4"/>
        <v>0</v>
      </c>
      <c r="Q19">
        <f t="shared" si="4"/>
        <v>0</v>
      </c>
      <c r="R19">
        <f t="shared" si="4"/>
        <v>0</v>
      </c>
      <c r="S19">
        <f>QUOTIENT(U20+U21+U19,2)</f>
        <v>0</v>
      </c>
      <c r="U19">
        <f t="shared" si="4"/>
        <v>0</v>
      </c>
      <c r="V19">
        <f t="shared" si="4"/>
        <v>0</v>
      </c>
      <c r="W19">
        <f>QUOTIENT(X20+X21+X19,2)</f>
        <v>0</v>
      </c>
      <c r="AF19" s="6" t="str">
        <f>IF(AND(F20=0,F21=0),"Сложены два положительных числа", IF(SUM(F20,F21) = 1, "Сложены положительное и отричательное число", "Сложены два отрицательных числа"))</f>
        <v>Сложены два положительных числа</v>
      </c>
    </row>
    <row r="20" spans="1:32" x14ac:dyDescent="0.3">
      <c r="B20" s="1" t="s">
        <v>48</v>
      </c>
      <c r="C20">
        <f>C1</f>
        <v>70000000</v>
      </c>
      <c r="D20" s="1" t="s">
        <v>41</v>
      </c>
      <c r="F20">
        <f t="shared" ref="F20:O21" si="5">IF(ISBLANK(F$3),".",QUOTIENT(MOD($C20,POWER(2,F$3+1)),POWER(2,F$3)))</f>
        <v>0</v>
      </c>
      <c r="G20">
        <f t="shared" si="5"/>
        <v>0</v>
      </c>
      <c r="H20">
        <f t="shared" si="5"/>
        <v>0</v>
      </c>
      <c r="I20">
        <f t="shared" si="5"/>
        <v>1</v>
      </c>
      <c r="J20" t="str">
        <f t="shared" si="5"/>
        <v>.</v>
      </c>
      <c r="K20">
        <f t="shared" si="5"/>
        <v>1</v>
      </c>
      <c r="L20">
        <f t="shared" si="5"/>
        <v>1</v>
      </c>
      <c r="M20">
        <f t="shared" si="5"/>
        <v>0</v>
      </c>
      <c r="N20">
        <f t="shared" si="5"/>
        <v>1</v>
      </c>
      <c r="O20" t="str">
        <f t="shared" si="5"/>
        <v>.</v>
      </c>
      <c r="P20">
        <f t="shared" ref="P20:W21" si="6">IF(ISBLANK(P$3),".",QUOTIENT(MOD($C20,POWER(2,P$3+1)),POWER(2,P$3)))</f>
        <v>1</v>
      </c>
      <c r="Q20">
        <f t="shared" si="6"/>
        <v>0</v>
      </c>
      <c r="R20">
        <f t="shared" si="6"/>
        <v>0</v>
      </c>
      <c r="S20">
        <f t="shared" si="6"/>
        <v>0</v>
      </c>
      <c r="T20" t="str">
        <f t="shared" si="6"/>
        <v>.</v>
      </c>
      <c r="U20">
        <f t="shared" si="6"/>
        <v>0</v>
      </c>
      <c r="V20">
        <f t="shared" si="6"/>
        <v>0</v>
      </c>
      <c r="W20">
        <f t="shared" si="6"/>
        <v>0</v>
      </c>
      <c r="X20">
        <f>MOD(C20,2)</f>
        <v>0</v>
      </c>
      <c r="AC20" s="1"/>
      <c r="AF20" s="6" t="str">
        <f>IF(Z23&gt;0, "Получено положительное число", "Получено отрицательное число")</f>
        <v>Получено положительное число</v>
      </c>
    </row>
    <row r="21" spans="1:32" x14ac:dyDescent="0.3">
      <c r="A21" s="1"/>
      <c r="B21" s="2" t="s">
        <v>53</v>
      </c>
      <c r="C21">
        <f>C2</f>
        <v>25531</v>
      </c>
      <c r="D21" s="2" t="s">
        <v>52</v>
      </c>
      <c r="F21">
        <f t="shared" si="5"/>
        <v>0</v>
      </c>
      <c r="G21">
        <f t="shared" si="5"/>
        <v>1</v>
      </c>
      <c r="H21">
        <f t="shared" si="5"/>
        <v>1</v>
      </c>
      <c r="I21">
        <f t="shared" si="5"/>
        <v>0</v>
      </c>
      <c r="J21" t="str">
        <f t="shared" si="5"/>
        <v>.</v>
      </c>
      <c r="K21">
        <f t="shared" si="5"/>
        <v>0</v>
      </c>
      <c r="L21">
        <f t="shared" si="5"/>
        <v>0</v>
      </c>
      <c r="M21">
        <f t="shared" si="5"/>
        <v>1</v>
      </c>
      <c r="N21">
        <f t="shared" si="5"/>
        <v>1</v>
      </c>
      <c r="O21" t="str">
        <f t="shared" si="5"/>
        <v>.</v>
      </c>
      <c r="P21">
        <f t="shared" si="6"/>
        <v>1</v>
      </c>
      <c r="Q21">
        <f t="shared" si="6"/>
        <v>0</v>
      </c>
      <c r="R21">
        <f t="shared" si="6"/>
        <v>1</v>
      </c>
      <c r="S21">
        <f t="shared" si="6"/>
        <v>1</v>
      </c>
      <c r="T21" t="str">
        <f t="shared" si="6"/>
        <v>.</v>
      </c>
      <c r="U21">
        <f t="shared" si="6"/>
        <v>1</v>
      </c>
      <c r="V21">
        <f t="shared" si="6"/>
        <v>0</v>
      </c>
      <c r="W21">
        <f t="shared" si="6"/>
        <v>1</v>
      </c>
      <c r="X21">
        <f>MOD(C21,2)</f>
        <v>1</v>
      </c>
      <c r="AB21" s="1"/>
      <c r="AC21" s="1"/>
      <c r="AF21" s="11" t="str">
        <f>IF(C23=Z23, "Результат выполнения операции верный и корректный,  совпадает с суммой десятичных эквивалентов", "Результат выполнения операции неверный и некорректный,  не совпадает с суммой десятичных эквивалентов, верятно из-за переполнений")</f>
        <v>Результат выполнения операции неверный и некорректный,  не совпадает с суммой десятичных эквивалентов, верятно из-за переполнений</v>
      </c>
    </row>
    <row r="22" spans="1:32" x14ac:dyDescent="0.3">
      <c r="A22" s="3"/>
      <c r="B22" s="3" t="s">
        <v>54</v>
      </c>
      <c r="C22" s="3" t="s">
        <v>49</v>
      </c>
      <c r="D22" s="3" t="s">
        <v>50</v>
      </c>
      <c r="E22" s="3" t="s">
        <v>43</v>
      </c>
      <c r="F22" s="3" t="s">
        <v>44</v>
      </c>
      <c r="G22" s="3" t="s">
        <v>44</v>
      </c>
      <c r="H22" s="3" t="s">
        <v>44</v>
      </c>
      <c r="I22" s="3" t="s">
        <v>44</v>
      </c>
      <c r="J22" s="3" t="s">
        <v>44</v>
      </c>
      <c r="K22" s="3" t="s">
        <v>44</v>
      </c>
      <c r="L22" s="3" t="s">
        <v>44</v>
      </c>
      <c r="M22" s="3" t="s">
        <v>44</v>
      </c>
      <c r="N22" s="3" t="s">
        <v>44</v>
      </c>
      <c r="O22" s="3" t="s">
        <v>44</v>
      </c>
      <c r="P22" s="3" t="s">
        <v>44</v>
      </c>
      <c r="Q22" s="3" t="s">
        <v>44</v>
      </c>
      <c r="R22" s="3" t="s">
        <v>44</v>
      </c>
      <c r="S22" s="3" t="s">
        <v>44</v>
      </c>
      <c r="T22" s="3" t="s">
        <v>44</v>
      </c>
      <c r="U22" s="3" t="s">
        <v>44</v>
      </c>
      <c r="V22" s="3" t="s">
        <v>44</v>
      </c>
      <c r="W22" s="3" t="s">
        <v>44</v>
      </c>
      <c r="X22" s="3" t="s">
        <v>44</v>
      </c>
      <c r="AB22" s="3"/>
      <c r="AC22" s="3"/>
      <c r="AD22" s="3"/>
      <c r="AF22" s="11"/>
    </row>
    <row r="23" spans="1:32" x14ac:dyDescent="0.3">
      <c r="C23">
        <f>C21+C20</f>
        <v>70025531</v>
      </c>
      <c r="F23">
        <f t="shared" ref="F23:H23" si="7">MOD(SUM(F19:F21),2)</f>
        <v>1</v>
      </c>
      <c r="G23">
        <f t="shared" si="7"/>
        <v>0</v>
      </c>
      <c r="H23">
        <f t="shared" si="7"/>
        <v>0</v>
      </c>
      <c r="I23">
        <f t="shared" ref="I23:M23" si="8">MOD(SUM(I19:I21),2)</f>
        <v>0</v>
      </c>
      <c r="J23" t="s">
        <v>45</v>
      </c>
      <c r="K23">
        <f t="shared" si="8"/>
        <v>0</v>
      </c>
      <c r="L23">
        <f t="shared" si="8"/>
        <v>0</v>
      </c>
      <c r="M23">
        <f t="shared" si="8"/>
        <v>0</v>
      </c>
      <c r="N23">
        <f t="shared" ref="N23" si="9">MOD(SUM(N19:N21),2)</f>
        <v>1</v>
      </c>
      <c r="O23" t="s">
        <v>45</v>
      </c>
      <c r="P23">
        <f t="shared" ref="P23:R23" si="10">MOD(SUM(P19:P21),2)</f>
        <v>0</v>
      </c>
      <c r="Q23">
        <f t="shared" si="10"/>
        <v>0</v>
      </c>
      <c r="R23">
        <f t="shared" si="10"/>
        <v>1</v>
      </c>
      <c r="S23">
        <f t="shared" ref="S23:V23" si="11">MOD(SUM(S19:S21),2)</f>
        <v>1</v>
      </c>
      <c r="T23" t="s">
        <v>45</v>
      </c>
      <c r="U23">
        <f t="shared" si="11"/>
        <v>1</v>
      </c>
      <c r="V23">
        <f t="shared" si="11"/>
        <v>0</v>
      </c>
      <c r="W23">
        <f>MOD(SUM(W19:W21),2)</f>
        <v>1</v>
      </c>
      <c r="X23">
        <f>MOD((X21+X20),2)</f>
        <v>1</v>
      </c>
      <c r="Y23" s="5" t="s">
        <v>47</v>
      </c>
      <c r="Z23">
        <f>IF(OR(SUM(F20:F21)=2,AND(F21+F20=1,F23=1)), -65536 + (F23*POWER(2,F$3)+G23*POWER(2,G$3)+H23*POWER(2,H$3)+I23*POWER(2,I$3)+K23*POWER(2,K$3)+L23*POWER(2,L$3)+M23*POWER(2,M$3)+N23*POWER(2,N$3)+P23*POWER(2,P$3)+Q23*POWER(2,Q$3)+R23*POWER(2,R$3)+S23*POWER(2,S$3)+U23*POWER(2,U$3)+V23*POWER(2,V$3)+W23*POWER(2,W$3)+X23*POWER(2,X$3)), F23*POWER(2,F$3)+G23*POWER(2,G$3)+H23*POWER(2,H$3)+I23*POWER(2,I$3)+K23*POWER(2,K$3)+L23*POWER(2,L$3)+M23*POWER(2,M$3)+N23*POWER(2,N$3)+P23*POWER(2,P$3)+Q23*POWER(2,Q$3)+R23*POWER(2,R$3)+S23*POWER(2,S$3)+U23*POWER(2,U$3)+V23*POWER(2,V$3)+W23*POWER(2,W$3)+X23*POWER(2,X$3))</f>
        <v>33083</v>
      </c>
      <c r="AF23" s="11"/>
    </row>
    <row r="24" spans="1:32" x14ac:dyDescent="0.3">
      <c r="AB24" s="3"/>
    </row>
    <row r="25" spans="1:32" x14ac:dyDescent="0.3">
      <c r="E25" s="1" t="s">
        <v>62</v>
      </c>
      <c r="F25" s="7">
        <f>IF(OR(AND(F20=0,F21=0),AND(F20+F21=1,F23=1)),0,1)</f>
        <v>0</v>
      </c>
      <c r="H25" t="s">
        <v>63</v>
      </c>
      <c r="J25">
        <f>IF(MOD(SUM(P23:X23),2)=0,0,1)</f>
        <v>1</v>
      </c>
      <c r="M25" t="s">
        <v>64</v>
      </c>
      <c r="O25">
        <f>S19</f>
        <v>0</v>
      </c>
      <c r="R25" t="s">
        <v>65</v>
      </c>
      <c r="T25">
        <f>IF(SUM(F23:X23)=0,1,0)</f>
        <v>0</v>
      </c>
      <c r="V25" t="s">
        <v>66</v>
      </c>
      <c r="X25">
        <f>F23</f>
        <v>1</v>
      </c>
      <c r="Z25" s="1" t="s">
        <v>67</v>
      </c>
      <c r="AA25">
        <f>IF(ABS(C20+C21)&lt;=32768,0,1)</f>
        <v>1</v>
      </c>
    </row>
    <row r="27" spans="1:32" ht="14.4" customHeight="1" x14ac:dyDescent="0.3">
      <c r="D27" s="4" t="s">
        <v>46</v>
      </c>
      <c r="F27">
        <f t="shared" ref="F27:H27" si="12">QUOTIENT(G28+G29+G27,2)</f>
        <v>0</v>
      </c>
      <c r="G27">
        <f t="shared" si="12"/>
        <v>0</v>
      </c>
      <c r="H27">
        <f t="shared" si="12"/>
        <v>0</v>
      </c>
      <c r="I27">
        <f>QUOTIENT(K28+K29+K27,2)</f>
        <v>0</v>
      </c>
      <c r="K27">
        <f t="shared" ref="K27:L27" si="13">QUOTIENT(L28+L29+L27,2)</f>
        <v>0</v>
      </c>
      <c r="L27">
        <f t="shared" si="13"/>
        <v>1</v>
      </c>
      <c r="M27">
        <f>QUOTIENT(N28+N29+N27,2)</f>
        <v>1</v>
      </c>
      <c r="N27">
        <f>QUOTIENT(P28+P29+P27,2)</f>
        <v>0</v>
      </c>
      <c r="P27">
        <f t="shared" ref="P27:R27" si="14">QUOTIENT(Q28+Q29+Q27,2)</f>
        <v>0</v>
      </c>
      <c r="Q27">
        <f t="shared" si="14"/>
        <v>1</v>
      </c>
      <c r="R27">
        <f t="shared" si="14"/>
        <v>1</v>
      </c>
      <c r="S27">
        <f>QUOTIENT(U28+U29+U27,2)</f>
        <v>1</v>
      </c>
      <c r="U27">
        <f t="shared" ref="U27:V27" si="15">QUOTIENT(V28+V29+V27,2)</f>
        <v>0</v>
      </c>
      <c r="V27">
        <f t="shared" si="15"/>
        <v>1</v>
      </c>
      <c r="W27">
        <f>QUOTIENT(X28+X29+X27,2)</f>
        <v>1</v>
      </c>
      <c r="AF27" s="6" t="str">
        <f>IF(AND(F28=0,F29=0),"Сложены два положительных числа", IF(SUM(F28,F29) = 1, "Сложены положительное и отричательное число", "Сложены два отрицательных числа"))</f>
        <v>Сложены положительное и отричательное число</v>
      </c>
    </row>
    <row r="28" spans="1:32" x14ac:dyDescent="0.3">
      <c r="B28" s="1" t="s">
        <v>48</v>
      </c>
      <c r="C28">
        <f>C5</f>
        <v>25531</v>
      </c>
      <c r="D28" s="1" t="s">
        <v>42</v>
      </c>
      <c r="F28">
        <f t="shared" ref="F28:O29" si="16">IF(ISBLANK(F$3),".",QUOTIENT(MOD($C28,POWER(2,F$3+1)),POWER(2,F$3)))</f>
        <v>0</v>
      </c>
      <c r="G28">
        <f t="shared" si="16"/>
        <v>1</v>
      </c>
      <c r="H28">
        <f t="shared" si="16"/>
        <v>1</v>
      </c>
      <c r="I28">
        <f t="shared" si="16"/>
        <v>0</v>
      </c>
      <c r="J28" t="str">
        <f t="shared" si="16"/>
        <v>.</v>
      </c>
      <c r="K28">
        <f t="shared" si="16"/>
        <v>0</v>
      </c>
      <c r="L28">
        <f t="shared" si="16"/>
        <v>0</v>
      </c>
      <c r="M28">
        <f t="shared" si="16"/>
        <v>1</v>
      </c>
      <c r="N28">
        <f t="shared" si="16"/>
        <v>1</v>
      </c>
      <c r="O28" t="str">
        <f t="shared" si="16"/>
        <v>.</v>
      </c>
      <c r="P28">
        <f t="shared" ref="P28:W29" si="17">IF(ISBLANK(P$3),".",QUOTIENT(MOD($C28,POWER(2,P$3+1)),POWER(2,P$3)))</f>
        <v>1</v>
      </c>
      <c r="Q28">
        <f t="shared" si="17"/>
        <v>0</v>
      </c>
      <c r="R28">
        <f t="shared" si="17"/>
        <v>1</v>
      </c>
      <c r="S28">
        <f t="shared" si="17"/>
        <v>1</v>
      </c>
      <c r="T28" t="str">
        <f t="shared" si="17"/>
        <v>.</v>
      </c>
      <c r="U28">
        <f t="shared" si="17"/>
        <v>1</v>
      </c>
      <c r="V28">
        <f t="shared" si="17"/>
        <v>0</v>
      </c>
      <c r="W28">
        <f t="shared" si="17"/>
        <v>1</v>
      </c>
      <c r="X28">
        <f>MOD(C28,2)</f>
        <v>1</v>
      </c>
      <c r="AC28" s="1"/>
      <c r="AF28" s="6" t="str">
        <f>IF(Z31&gt;0, "Получено положительное число", "Получено отрицательное число")</f>
        <v>Получено отрицательное число</v>
      </c>
    </row>
    <row r="29" spans="1:32" ht="14.4" customHeight="1" x14ac:dyDescent="0.3">
      <c r="B29" s="2" t="s">
        <v>53</v>
      </c>
      <c r="C29">
        <f>C6</f>
        <v>70025531</v>
      </c>
      <c r="D29" s="2" t="s">
        <v>55</v>
      </c>
      <c r="F29">
        <f t="shared" si="16"/>
        <v>1</v>
      </c>
      <c r="G29">
        <f t="shared" si="16"/>
        <v>0</v>
      </c>
      <c r="H29">
        <f t="shared" si="16"/>
        <v>0</v>
      </c>
      <c r="I29">
        <f t="shared" si="16"/>
        <v>0</v>
      </c>
      <c r="J29" t="str">
        <f t="shared" si="16"/>
        <v>.</v>
      </c>
      <c r="K29">
        <f t="shared" si="16"/>
        <v>0</v>
      </c>
      <c r="L29">
        <f t="shared" si="16"/>
        <v>0</v>
      </c>
      <c r="M29">
        <f t="shared" si="16"/>
        <v>0</v>
      </c>
      <c r="N29">
        <f t="shared" si="16"/>
        <v>1</v>
      </c>
      <c r="O29" t="str">
        <f t="shared" si="16"/>
        <v>.</v>
      </c>
      <c r="P29">
        <f t="shared" si="17"/>
        <v>0</v>
      </c>
      <c r="Q29">
        <f t="shared" si="17"/>
        <v>0</v>
      </c>
      <c r="R29">
        <f t="shared" si="17"/>
        <v>1</v>
      </c>
      <c r="S29">
        <f t="shared" si="17"/>
        <v>1</v>
      </c>
      <c r="T29" t="str">
        <f t="shared" si="17"/>
        <v>.</v>
      </c>
      <c r="U29">
        <f t="shared" si="17"/>
        <v>1</v>
      </c>
      <c r="V29">
        <f t="shared" si="17"/>
        <v>0</v>
      </c>
      <c r="W29">
        <f t="shared" si="17"/>
        <v>1</v>
      </c>
      <c r="X29">
        <f>MOD(C29,2)</f>
        <v>1</v>
      </c>
      <c r="AB29" s="1"/>
      <c r="AC29" s="1"/>
      <c r="AF29" s="11" t="str">
        <f>IF(C31=Z31, "Результат выполнения операции верный и корректный,  совпадает с суммой десятичных эквивалентов", "Результат выполнения операции неверный и некорректный,  не совпадает с суммой десятичных эквивалентов, верятно из-за переполнений")</f>
        <v>Результат выполнения операции неверный и некорректный,  не совпадает с суммой десятичных эквивалентов, верятно из-за переполнений</v>
      </c>
    </row>
    <row r="30" spans="1:32" x14ac:dyDescent="0.3">
      <c r="B30" s="3" t="s">
        <v>54</v>
      </c>
      <c r="C30" s="3" t="s">
        <v>49</v>
      </c>
      <c r="D30" s="3" t="s">
        <v>50</v>
      </c>
      <c r="E30" s="3" t="s">
        <v>43</v>
      </c>
      <c r="F30" s="3" t="s">
        <v>44</v>
      </c>
      <c r="G30" s="3" t="s">
        <v>44</v>
      </c>
      <c r="H30" s="3" t="s">
        <v>44</v>
      </c>
      <c r="I30" s="3" t="s">
        <v>44</v>
      </c>
      <c r="J30" s="3" t="s">
        <v>44</v>
      </c>
      <c r="K30" s="3" t="s">
        <v>44</v>
      </c>
      <c r="L30" s="3" t="s">
        <v>44</v>
      </c>
      <c r="M30" s="3" t="s">
        <v>44</v>
      </c>
      <c r="N30" s="3" t="s">
        <v>44</v>
      </c>
      <c r="O30" s="3" t="s">
        <v>44</v>
      </c>
      <c r="P30" s="3" t="s">
        <v>44</v>
      </c>
      <c r="Q30" s="3" t="s">
        <v>44</v>
      </c>
      <c r="R30" s="3" t="s">
        <v>44</v>
      </c>
      <c r="S30" s="3" t="s">
        <v>44</v>
      </c>
      <c r="T30" s="3" t="s">
        <v>44</v>
      </c>
      <c r="U30" s="3" t="s">
        <v>44</v>
      </c>
      <c r="V30" s="3" t="s">
        <v>44</v>
      </c>
      <c r="W30" s="3" t="s">
        <v>44</v>
      </c>
      <c r="X30" s="3" t="s">
        <v>44</v>
      </c>
      <c r="AB30" s="3"/>
      <c r="AC30" s="3"/>
      <c r="AD30" s="3"/>
      <c r="AF30" s="11"/>
    </row>
    <row r="31" spans="1:32" x14ac:dyDescent="0.3">
      <c r="C31">
        <f>C29+C28</f>
        <v>70051062</v>
      </c>
      <c r="F31">
        <f t="shared" ref="F31:I31" si="18">MOD(SUM(F27:F29),2)</f>
        <v>1</v>
      </c>
      <c r="G31">
        <f t="shared" si="18"/>
        <v>1</v>
      </c>
      <c r="H31">
        <f t="shared" si="18"/>
        <v>1</v>
      </c>
      <c r="I31">
        <f t="shared" si="18"/>
        <v>0</v>
      </c>
      <c r="J31" t="s">
        <v>45</v>
      </c>
      <c r="K31">
        <f t="shared" ref="K31:N31" si="19">MOD(SUM(K27:K29),2)</f>
        <v>0</v>
      </c>
      <c r="L31">
        <f t="shared" si="19"/>
        <v>1</v>
      </c>
      <c r="M31">
        <f t="shared" si="19"/>
        <v>0</v>
      </c>
      <c r="N31">
        <f t="shared" si="19"/>
        <v>0</v>
      </c>
      <c r="O31" t="s">
        <v>45</v>
      </c>
      <c r="P31">
        <f t="shared" ref="P31:S31" si="20">MOD(SUM(P27:P29),2)</f>
        <v>1</v>
      </c>
      <c r="Q31">
        <f t="shared" si="20"/>
        <v>1</v>
      </c>
      <c r="R31">
        <f t="shared" si="20"/>
        <v>1</v>
      </c>
      <c r="S31">
        <f t="shared" si="20"/>
        <v>1</v>
      </c>
      <c r="T31" t="s">
        <v>45</v>
      </c>
      <c r="U31">
        <f t="shared" ref="U31:V31" si="21">MOD(SUM(U27:U29),2)</f>
        <v>0</v>
      </c>
      <c r="V31">
        <f t="shared" si="21"/>
        <v>1</v>
      </c>
      <c r="W31">
        <f>MOD(SUM(W27:W29),2)</f>
        <v>1</v>
      </c>
      <c r="X31">
        <f>MOD((X29+X28),2)</f>
        <v>0</v>
      </c>
      <c r="Y31" s="5" t="s">
        <v>47</v>
      </c>
      <c r="Z31">
        <f>IF(OR(SUM(F28:F29)=2,AND(F29+F28=1,F31=1)), -65536 + (F31*POWER(2,F$3)+G31*POWER(2,G$3)+H31*POWER(2,H$3)+I31*POWER(2,I$3)+K31*POWER(2,K$3)+L31*POWER(2,L$3)+M31*POWER(2,M$3)+N31*POWER(2,N$3)+P31*POWER(2,P$3)+Q31*POWER(2,Q$3)+R31*POWER(2,R$3)+S31*POWER(2,S$3)+U31*POWER(2,U$3)+V31*POWER(2,V$3)+W31*POWER(2,W$3)+X31*POWER(2,X$3)), F31*POWER(2,F$3)+G31*POWER(2,G$3)+H31*POWER(2,H$3)+I31*POWER(2,I$3)+K31*POWER(2,K$3)+L31*POWER(2,L$3)+M31*POWER(2,M$3)+N31*POWER(2,N$3)+P31*POWER(2,P$3)+Q31*POWER(2,Q$3)+R31*POWER(2,R$3)+S31*POWER(2,S$3)+U31*POWER(2,U$3)+V31*POWER(2,V$3)+W31*POWER(2,W$3)+X31*POWER(2,X$3))</f>
        <v>-6922</v>
      </c>
      <c r="AF31" s="11"/>
    </row>
    <row r="33" spans="2:32" x14ac:dyDescent="0.3">
      <c r="E33" s="1" t="s">
        <v>62</v>
      </c>
      <c r="F33" s="7">
        <f>IF(OR(AND(F28=0,F29=0),AND(F28+F29=1,F31=1)),0,1)</f>
        <v>0</v>
      </c>
      <c r="H33" t="s">
        <v>63</v>
      </c>
      <c r="J33">
        <f>IF(MOD(SUM(P31:X31),2)=0,0,1)</f>
        <v>0</v>
      </c>
      <c r="M33" t="s">
        <v>64</v>
      </c>
      <c r="O33">
        <f>S27</f>
        <v>1</v>
      </c>
      <c r="R33" t="s">
        <v>65</v>
      </c>
      <c r="T33">
        <f>IF(SUM(F31:X31)=0,1,0)</f>
        <v>0</v>
      </c>
      <c r="V33" t="s">
        <v>66</v>
      </c>
      <c r="X33">
        <f>F31</f>
        <v>1</v>
      </c>
      <c r="Z33" s="1" t="s">
        <v>67</v>
      </c>
      <c r="AA33">
        <f>IF(ABS(C28+C29)&lt;=32768,0,1)</f>
        <v>1</v>
      </c>
    </row>
    <row r="35" spans="2:32" x14ac:dyDescent="0.3">
      <c r="D35" s="4" t="s">
        <v>46</v>
      </c>
      <c r="F35">
        <f t="shared" ref="F35:H35" si="22">QUOTIENT(G36+G37+G35,2)</f>
        <v>1</v>
      </c>
      <c r="G35">
        <f t="shared" si="22"/>
        <v>1</v>
      </c>
      <c r="H35">
        <f t="shared" si="22"/>
        <v>0</v>
      </c>
      <c r="I35">
        <f>QUOTIENT(K36+K37+K35,2)</f>
        <v>0</v>
      </c>
      <c r="K35">
        <f t="shared" ref="K35:L35" si="23">QUOTIENT(L36+L37+L35,2)</f>
        <v>0</v>
      </c>
      <c r="L35">
        <f t="shared" si="23"/>
        <v>1</v>
      </c>
      <c r="M35">
        <f>QUOTIENT(N36+N37+N35,2)</f>
        <v>1</v>
      </c>
      <c r="N35">
        <f>QUOTIENT(P36+P37+P35,2)</f>
        <v>1</v>
      </c>
      <c r="P35">
        <f>QUOTIENT(Q36+Q37+Q35,2)</f>
        <v>0</v>
      </c>
      <c r="Q35">
        <f>QUOTIENT(R36+R37+R35,2)</f>
        <v>0</v>
      </c>
      <c r="R35">
        <f>QUOTIENT(S36+S37+S35,2)</f>
        <v>0</v>
      </c>
      <c r="S35">
        <f>QUOTIENT(U36+U37+U35,2)</f>
        <v>0</v>
      </c>
      <c r="U35">
        <f>QUOTIENT(V36+V37+V35,2)</f>
        <v>0</v>
      </c>
      <c r="V35">
        <f>QUOTIENT(W36+W37+W35,2)</f>
        <v>0</v>
      </c>
      <c r="W35">
        <f>QUOTIENT(X36+X37+X35,2)</f>
        <v>0</v>
      </c>
      <c r="AF35" s="6" t="str">
        <f>IF(AND(F36=0,F37=0),"Сложены два положительных числа", IF(SUM(F36,F37) = 1, "Сложены положительное и отричательное число", "Сложены два отрицательных числа"))</f>
        <v>Сложены положительное и отричательное число</v>
      </c>
    </row>
    <row r="36" spans="2:32" x14ac:dyDescent="0.3">
      <c r="B36" s="1" t="s">
        <v>48</v>
      </c>
      <c r="C36">
        <f>C5</f>
        <v>25531</v>
      </c>
      <c r="D36" s="1" t="s">
        <v>42</v>
      </c>
      <c r="F36">
        <f t="shared" ref="F36:O37" si="24">IF(ISBLANK(F$3),".",QUOTIENT(MOD($C36,POWER(2,F$3+1)),POWER(2,F$3)))</f>
        <v>0</v>
      </c>
      <c r="G36">
        <f t="shared" si="24"/>
        <v>1</v>
      </c>
      <c r="H36">
        <f t="shared" si="24"/>
        <v>1</v>
      </c>
      <c r="I36">
        <f t="shared" si="24"/>
        <v>0</v>
      </c>
      <c r="J36" t="str">
        <f t="shared" si="24"/>
        <v>.</v>
      </c>
      <c r="K36">
        <f t="shared" si="24"/>
        <v>0</v>
      </c>
      <c r="L36">
        <f t="shared" si="24"/>
        <v>0</v>
      </c>
      <c r="M36">
        <f t="shared" si="24"/>
        <v>1</v>
      </c>
      <c r="N36">
        <f t="shared" si="24"/>
        <v>1</v>
      </c>
      <c r="O36" t="str">
        <f t="shared" si="24"/>
        <v>.</v>
      </c>
      <c r="P36">
        <f t="shared" ref="P36:W37" si="25">IF(ISBLANK(P$3),".",QUOTIENT(MOD($C36,POWER(2,P$3+1)),POWER(2,P$3)))</f>
        <v>1</v>
      </c>
      <c r="Q36">
        <f t="shared" si="25"/>
        <v>0</v>
      </c>
      <c r="R36">
        <f t="shared" si="25"/>
        <v>1</v>
      </c>
      <c r="S36">
        <f t="shared" si="25"/>
        <v>1</v>
      </c>
      <c r="T36" t="str">
        <f t="shared" si="25"/>
        <v>.</v>
      </c>
      <c r="U36">
        <f t="shared" si="25"/>
        <v>1</v>
      </c>
      <c r="V36">
        <f t="shared" si="25"/>
        <v>0</v>
      </c>
      <c r="W36">
        <f t="shared" si="25"/>
        <v>1</v>
      </c>
      <c r="X36">
        <f>MOD(C36,2)</f>
        <v>1</v>
      </c>
      <c r="AC36" s="1"/>
      <c r="AF36" s="6" t="str">
        <f>IF(Z39&gt;0, "Получено положительное число", "Получено отрицательное число")</f>
        <v>Получено положительное число</v>
      </c>
    </row>
    <row r="37" spans="2:32" x14ac:dyDescent="0.3">
      <c r="B37" s="2" t="s">
        <v>53</v>
      </c>
      <c r="C37">
        <f>C10</f>
        <v>-70000000</v>
      </c>
      <c r="D37" s="2" t="s">
        <v>56</v>
      </c>
      <c r="F37">
        <f t="shared" si="24"/>
        <v>1</v>
      </c>
      <c r="G37">
        <f t="shared" si="24"/>
        <v>1</v>
      </c>
      <c r="H37">
        <f t="shared" si="24"/>
        <v>1</v>
      </c>
      <c r="I37">
        <f t="shared" si="24"/>
        <v>0</v>
      </c>
      <c r="J37" t="str">
        <f t="shared" si="24"/>
        <v>.</v>
      </c>
      <c r="K37">
        <f t="shared" si="24"/>
        <v>0</v>
      </c>
      <c r="L37">
        <f t="shared" si="24"/>
        <v>0</v>
      </c>
      <c r="M37">
        <f t="shared" si="24"/>
        <v>1</v>
      </c>
      <c r="N37">
        <f t="shared" si="24"/>
        <v>0</v>
      </c>
      <c r="O37" t="str">
        <f t="shared" si="24"/>
        <v>.</v>
      </c>
      <c r="P37">
        <f t="shared" si="25"/>
        <v>1</v>
      </c>
      <c r="Q37">
        <f t="shared" si="25"/>
        <v>0</v>
      </c>
      <c r="R37">
        <f t="shared" si="25"/>
        <v>0</v>
      </c>
      <c r="S37">
        <f t="shared" si="25"/>
        <v>0</v>
      </c>
      <c r="T37" t="str">
        <f t="shared" si="25"/>
        <v>.</v>
      </c>
      <c r="U37">
        <f t="shared" si="25"/>
        <v>0</v>
      </c>
      <c r="V37">
        <f t="shared" si="25"/>
        <v>0</v>
      </c>
      <c r="W37">
        <f t="shared" si="25"/>
        <v>0</v>
      </c>
      <c r="X37">
        <f>MOD(C37,2)</f>
        <v>0</v>
      </c>
      <c r="AB37" s="1"/>
      <c r="AC37" s="1"/>
      <c r="AF37" s="11" t="str">
        <f>IF(C39=Z39, "Результат выполнения операции верный и корректный,  совпадает с суммой десятичных эквивалентов", "Результат выполнения операции неверный и некорректный,  не совпадает с суммой десятичных эквивалентов, верятно из-за переполнений")</f>
        <v>Результат выполнения операции неверный и некорректный,  не совпадает с суммой десятичных эквивалентов, верятно из-за переполнений</v>
      </c>
    </row>
    <row r="38" spans="2:32" x14ac:dyDescent="0.3">
      <c r="B38" s="3" t="s">
        <v>54</v>
      </c>
      <c r="C38" s="3" t="s">
        <v>49</v>
      </c>
      <c r="D38" s="3" t="s">
        <v>50</v>
      </c>
      <c r="E38" s="3" t="s">
        <v>43</v>
      </c>
      <c r="F38" s="3" t="s">
        <v>44</v>
      </c>
      <c r="G38" s="3" t="s">
        <v>44</v>
      </c>
      <c r="H38" s="3" t="s">
        <v>44</v>
      </c>
      <c r="I38" s="3" t="s">
        <v>44</v>
      </c>
      <c r="J38" s="3" t="s">
        <v>44</v>
      </c>
      <c r="K38" s="3" t="s">
        <v>44</v>
      </c>
      <c r="L38" s="3" t="s">
        <v>44</v>
      </c>
      <c r="M38" s="3" t="s">
        <v>44</v>
      </c>
      <c r="N38" s="3" t="s">
        <v>44</v>
      </c>
      <c r="O38" s="3" t="s">
        <v>44</v>
      </c>
      <c r="P38" s="3" t="s">
        <v>44</v>
      </c>
      <c r="Q38" s="3" t="s">
        <v>44</v>
      </c>
      <c r="R38" s="3" t="s">
        <v>44</v>
      </c>
      <c r="S38" s="3" t="s">
        <v>44</v>
      </c>
      <c r="T38" s="3" t="s">
        <v>44</v>
      </c>
      <c r="U38" s="3" t="s">
        <v>44</v>
      </c>
      <c r="V38" s="3" t="s">
        <v>44</v>
      </c>
      <c r="W38" s="3" t="s">
        <v>44</v>
      </c>
      <c r="X38" s="3" t="s">
        <v>44</v>
      </c>
      <c r="AB38" s="3"/>
      <c r="AC38" s="3"/>
      <c r="AD38" s="3"/>
      <c r="AF38" s="11"/>
    </row>
    <row r="39" spans="2:32" x14ac:dyDescent="0.3">
      <c r="C39">
        <f>C37+C36</f>
        <v>-69974469</v>
      </c>
      <c r="F39">
        <f t="shared" ref="F39:I39" si="26">MOD(SUM(F35:F37),2)</f>
        <v>0</v>
      </c>
      <c r="G39">
        <f t="shared" si="26"/>
        <v>1</v>
      </c>
      <c r="H39">
        <f t="shared" si="26"/>
        <v>0</v>
      </c>
      <c r="I39">
        <f t="shared" si="26"/>
        <v>0</v>
      </c>
      <c r="J39" t="s">
        <v>45</v>
      </c>
      <c r="K39">
        <f t="shared" ref="K39:N39" si="27">MOD(SUM(K35:K37),2)</f>
        <v>0</v>
      </c>
      <c r="L39">
        <f t="shared" si="27"/>
        <v>1</v>
      </c>
      <c r="M39">
        <f t="shared" si="27"/>
        <v>1</v>
      </c>
      <c r="N39">
        <f t="shared" si="27"/>
        <v>0</v>
      </c>
      <c r="O39" t="s">
        <v>45</v>
      </c>
      <c r="P39">
        <f t="shared" ref="P39:S39" si="28">MOD(SUM(P35:P37),2)</f>
        <v>0</v>
      </c>
      <c r="Q39">
        <f t="shared" si="28"/>
        <v>0</v>
      </c>
      <c r="R39">
        <f t="shared" si="28"/>
        <v>1</v>
      </c>
      <c r="S39">
        <f t="shared" si="28"/>
        <v>1</v>
      </c>
      <c r="T39" t="s">
        <v>45</v>
      </c>
      <c r="U39">
        <f t="shared" ref="U39:V39" si="29">MOD(SUM(U35:U37),2)</f>
        <v>1</v>
      </c>
      <c r="V39">
        <f t="shared" si="29"/>
        <v>0</v>
      </c>
      <c r="W39">
        <f>MOD(SUM(W35:W37),2)</f>
        <v>1</v>
      </c>
      <c r="X39">
        <f>MOD((X37+X36),2)</f>
        <v>1</v>
      </c>
      <c r="Y39" s="5" t="s">
        <v>47</v>
      </c>
      <c r="Z39">
        <f>IF(OR(SUM(F36:F37)=2,AND(F37+F36=1,F39=1)), -65536 + (F39*POWER(2,F$3)+G39*POWER(2,G$3)+H39*POWER(2,H$3)+I39*POWER(2,I$3)+K39*POWER(2,K$3)+L39*POWER(2,L$3)+M39*POWER(2,M$3)+N39*POWER(2,N$3)+P39*POWER(2,P$3)+Q39*POWER(2,Q$3)+R39*POWER(2,R$3)+S39*POWER(2,S$3)+U39*POWER(2,U$3)+V39*POWER(2,V$3)+W39*POWER(2,W$3)+X39*POWER(2,X$3)), F39*POWER(2,F$3)+G39*POWER(2,G$3)+H39*POWER(2,H$3)+I39*POWER(2,I$3)+K39*POWER(2,K$3)+L39*POWER(2,L$3)+M39*POWER(2,M$3)+N39*POWER(2,N$3)+P39*POWER(2,P$3)+Q39*POWER(2,Q$3)+R39*POWER(2,R$3)+S39*POWER(2,S$3)+U39*POWER(2,U$3)+V39*POWER(2,V$3)+W39*POWER(2,W$3)+X39*POWER(2,X$3))</f>
        <v>17979</v>
      </c>
      <c r="AF39" s="11"/>
    </row>
    <row r="41" spans="2:32" x14ac:dyDescent="0.3">
      <c r="E41" s="1" t="s">
        <v>62</v>
      </c>
      <c r="F41" s="7">
        <f>IF(OR(AND(F36=0,F37=0),AND(F36+F37=1,F39=1)),0,1)</f>
        <v>1</v>
      </c>
      <c r="H41" t="s">
        <v>63</v>
      </c>
      <c r="J41">
        <f>IF(MOD(SUM(P39:X39),2)=0,0,1)</f>
        <v>1</v>
      </c>
      <c r="M41" t="s">
        <v>64</v>
      </c>
      <c r="O41">
        <f>S35</f>
        <v>0</v>
      </c>
      <c r="R41" t="s">
        <v>65</v>
      </c>
      <c r="T41">
        <f>IF(SUM(F39:X39)=0,1,0)</f>
        <v>0</v>
      </c>
      <c r="V41" t="s">
        <v>66</v>
      </c>
      <c r="X41">
        <f>F39</f>
        <v>0</v>
      </c>
      <c r="Z41" s="1" t="s">
        <v>67</v>
      </c>
      <c r="AA41">
        <f>IF(ABS(C36+C37)&lt;=32768,0,1)</f>
        <v>1</v>
      </c>
    </row>
    <row r="43" spans="2:32" x14ac:dyDescent="0.3">
      <c r="D43" s="4" t="s">
        <v>46</v>
      </c>
      <c r="F43">
        <f t="shared" ref="F43:H43" si="30">QUOTIENT(G44+G45+G43,2)</f>
        <v>0</v>
      </c>
      <c r="G43">
        <f t="shared" si="30"/>
        <v>0</v>
      </c>
      <c r="H43">
        <f t="shared" si="30"/>
        <v>0</v>
      </c>
      <c r="I43">
        <f>QUOTIENT(K44+K45+K43,2)</f>
        <v>0</v>
      </c>
      <c r="K43">
        <f t="shared" ref="K43:L43" si="31">QUOTIENT(L44+L45+L43,2)</f>
        <v>0</v>
      </c>
      <c r="L43">
        <f t="shared" si="31"/>
        <v>0</v>
      </c>
      <c r="M43">
        <f>QUOTIENT(N44+N45+N43,2)</f>
        <v>0</v>
      </c>
      <c r="N43">
        <f>QUOTIENT(P44+P45+P43,2)</f>
        <v>0</v>
      </c>
      <c r="P43">
        <f t="shared" ref="P43:R43" si="32">QUOTIENT(Q44+Q45+Q43,2)</f>
        <v>0</v>
      </c>
      <c r="Q43">
        <f t="shared" si="32"/>
        <v>0</v>
      </c>
      <c r="R43">
        <f t="shared" si="32"/>
        <v>0</v>
      </c>
      <c r="S43">
        <f>QUOTIENT(U44+U45+U43,2)</f>
        <v>0</v>
      </c>
      <c r="U43">
        <f t="shared" ref="U43:V43" si="33">QUOTIENT(V44+V45+V43,2)</f>
        <v>0</v>
      </c>
      <c r="V43">
        <f t="shared" si="33"/>
        <v>0</v>
      </c>
      <c r="W43">
        <f>QUOTIENT(X44+X45+X43,2)</f>
        <v>0</v>
      </c>
      <c r="AF43" s="6" t="str">
        <f>IF(AND(F44=0,F45=0),"Сложены два положительных числа", IF(SUM(F44,F45) = 1, "Сложены положительное и отричательное число", "Сложены два отрицательных числа"))</f>
        <v>Сложены два отрицательных числа</v>
      </c>
    </row>
    <row r="44" spans="2:32" x14ac:dyDescent="0.3">
      <c r="B44" s="1" t="s">
        <v>48</v>
      </c>
      <c r="C44">
        <f>C10</f>
        <v>-70000000</v>
      </c>
      <c r="D44" s="1" t="s">
        <v>57</v>
      </c>
      <c r="F44">
        <f t="shared" ref="F44:O45" si="34">IF(ISBLANK(F$3),".",QUOTIENT(MOD($C44,POWER(2,F$3+1)),POWER(2,F$3)))</f>
        <v>1</v>
      </c>
      <c r="G44">
        <f t="shared" si="34"/>
        <v>1</v>
      </c>
      <c r="H44">
        <f t="shared" si="34"/>
        <v>1</v>
      </c>
      <c r="I44">
        <f t="shared" si="34"/>
        <v>0</v>
      </c>
      <c r="J44" t="str">
        <f t="shared" si="34"/>
        <v>.</v>
      </c>
      <c r="K44">
        <f t="shared" si="34"/>
        <v>0</v>
      </c>
      <c r="L44">
        <f t="shared" si="34"/>
        <v>0</v>
      </c>
      <c r="M44">
        <f t="shared" si="34"/>
        <v>1</v>
      </c>
      <c r="N44">
        <f t="shared" si="34"/>
        <v>0</v>
      </c>
      <c r="O44" t="str">
        <f t="shared" si="34"/>
        <v>.</v>
      </c>
      <c r="P44">
        <f t="shared" ref="P44:W45" si="35">IF(ISBLANK(P$3),".",QUOTIENT(MOD($C44,POWER(2,P$3+1)),POWER(2,P$3)))</f>
        <v>1</v>
      </c>
      <c r="Q44">
        <f t="shared" si="35"/>
        <v>0</v>
      </c>
      <c r="R44">
        <f t="shared" si="35"/>
        <v>0</v>
      </c>
      <c r="S44">
        <f t="shared" si="35"/>
        <v>0</v>
      </c>
      <c r="T44" t="str">
        <f t="shared" si="35"/>
        <v>.</v>
      </c>
      <c r="U44">
        <f t="shared" si="35"/>
        <v>0</v>
      </c>
      <c r="V44">
        <f t="shared" si="35"/>
        <v>0</v>
      </c>
      <c r="W44">
        <f t="shared" si="35"/>
        <v>0</v>
      </c>
      <c r="X44">
        <f>MOD(C44,2)</f>
        <v>0</v>
      </c>
      <c r="AF44" s="6" t="str">
        <f>IF(Z47&gt;0, "Получено положительное число", "Получено отрицательное число")</f>
        <v>Получено отрицательное число</v>
      </c>
    </row>
    <row r="45" spans="2:32" x14ac:dyDescent="0.3">
      <c r="B45" s="2" t="s">
        <v>53</v>
      </c>
      <c r="C45">
        <f>C11</f>
        <v>-25531</v>
      </c>
      <c r="D45" s="2" t="s">
        <v>58</v>
      </c>
      <c r="F45">
        <f t="shared" si="34"/>
        <v>1</v>
      </c>
      <c r="G45">
        <f t="shared" si="34"/>
        <v>0</v>
      </c>
      <c r="H45">
        <f t="shared" si="34"/>
        <v>0</v>
      </c>
      <c r="I45">
        <f t="shared" si="34"/>
        <v>1</v>
      </c>
      <c r="J45" t="str">
        <f t="shared" si="34"/>
        <v>.</v>
      </c>
      <c r="K45">
        <f t="shared" si="34"/>
        <v>1</v>
      </c>
      <c r="L45">
        <f t="shared" si="34"/>
        <v>1</v>
      </c>
      <c r="M45">
        <f t="shared" si="34"/>
        <v>0</v>
      </c>
      <c r="N45">
        <f t="shared" si="34"/>
        <v>0</v>
      </c>
      <c r="O45" t="str">
        <f t="shared" si="34"/>
        <v>.</v>
      </c>
      <c r="P45">
        <f t="shared" si="35"/>
        <v>0</v>
      </c>
      <c r="Q45">
        <f t="shared" si="35"/>
        <v>1</v>
      </c>
      <c r="R45">
        <f t="shared" si="35"/>
        <v>0</v>
      </c>
      <c r="S45">
        <f t="shared" si="35"/>
        <v>0</v>
      </c>
      <c r="T45" t="str">
        <f t="shared" si="35"/>
        <v>.</v>
      </c>
      <c r="U45">
        <f t="shared" si="35"/>
        <v>0</v>
      </c>
      <c r="V45">
        <f t="shared" si="35"/>
        <v>1</v>
      </c>
      <c r="W45">
        <f t="shared" si="35"/>
        <v>0</v>
      </c>
      <c r="X45">
        <f>MOD(C45,2)</f>
        <v>1</v>
      </c>
      <c r="AF45" s="11" t="str">
        <f>IF(C47=Z47, "Результат выполнения операции верный и корректный,  совпадает с суммой десятичных эквивалентов", "Результат выполнения операции неверный и некорректный,  не совпадает с суммой десятичных эквивалентов, верятно из-за переполнений")</f>
        <v>Результат выполнения операции неверный и некорректный,  не совпадает с суммой десятичных эквивалентов, верятно из-за переполнений</v>
      </c>
    </row>
    <row r="46" spans="2:32" x14ac:dyDescent="0.3">
      <c r="B46" s="3" t="s">
        <v>54</v>
      </c>
      <c r="C46" s="3" t="s">
        <v>49</v>
      </c>
      <c r="D46" s="3" t="s">
        <v>50</v>
      </c>
      <c r="E46" s="3" t="s">
        <v>43</v>
      </c>
      <c r="F46" s="3" t="s">
        <v>44</v>
      </c>
      <c r="G46" s="3" t="s">
        <v>44</v>
      </c>
      <c r="H46" s="3" t="s">
        <v>44</v>
      </c>
      <c r="I46" s="3" t="s">
        <v>44</v>
      </c>
      <c r="J46" s="3" t="s">
        <v>44</v>
      </c>
      <c r="K46" s="3" t="s">
        <v>44</v>
      </c>
      <c r="L46" s="3" t="s">
        <v>44</v>
      </c>
      <c r="M46" s="3" t="s">
        <v>44</v>
      </c>
      <c r="N46" s="3" t="s">
        <v>44</v>
      </c>
      <c r="O46" s="3" t="s">
        <v>44</v>
      </c>
      <c r="P46" s="3" t="s">
        <v>44</v>
      </c>
      <c r="Q46" s="3" t="s">
        <v>44</v>
      </c>
      <c r="R46" s="3" t="s">
        <v>44</v>
      </c>
      <c r="S46" s="3" t="s">
        <v>44</v>
      </c>
      <c r="T46" s="3" t="s">
        <v>44</v>
      </c>
      <c r="U46" s="3" t="s">
        <v>44</v>
      </c>
      <c r="V46" s="3" t="s">
        <v>44</v>
      </c>
      <c r="W46" s="3" t="s">
        <v>44</v>
      </c>
      <c r="X46" s="3" t="s">
        <v>44</v>
      </c>
      <c r="AF46" s="11"/>
    </row>
    <row r="47" spans="2:32" x14ac:dyDescent="0.3">
      <c r="C47">
        <f>C45+C44</f>
        <v>-70025531</v>
      </c>
      <c r="F47">
        <f t="shared" ref="F47:I47" si="36">MOD(SUM(F43:F45),2)</f>
        <v>0</v>
      </c>
      <c r="G47">
        <f t="shared" si="36"/>
        <v>1</v>
      </c>
      <c r="H47">
        <f t="shared" si="36"/>
        <v>1</v>
      </c>
      <c r="I47">
        <f t="shared" si="36"/>
        <v>1</v>
      </c>
      <c r="J47" t="s">
        <v>45</v>
      </c>
      <c r="K47">
        <f t="shared" ref="K47:N47" si="37">MOD(SUM(K43:K45),2)</f>
        <v>1</v>
      </c>
      <c r="L47">
        <f t="shared" si="37"/>
        <v>1</v>
      </c>
      <c r="M47">
        <f t="shared" si="37"/>
        <v>1</v>
      </c>
      <c r="N47">
        <f t="shared" si="37"/>
        <v>0</v>
      </c>
      <c r="O47" t="s">
        <v>45</v>
      </c>
      <c r="P47">
        <f t="shared" ref="P47:S47" si="38">MOD(SUM(P43:P45),2)</f>
        <v>1</v>
      </c>
      <c r="Q47">
        <f t="shared" si="38"/>
        <v>1</v>
      </c>
      <c r="R47">
        <f t="shared" si="38"/>
        <v>0</v>
      </c>
      <c r="S47">
        <f t="shared" si="38"/>
        <v>0</v>
      </c>
      <c r="T47" t="s">
        <v>45</v>
      </c>
      <c r="U47">
        <f t="shared" ref="U47:V47" si="39">MOD(SUM(U43:U45),2)</f>
        <v>0</v>
      </c>
      <c r="V47">
        <f t="shared" si="39"/>
        <v>1</v>
      </c>
      <c r="W47">
        <f>MOD(SUM(W43:W45),2)</f>
        <v>0</v>
      </c>
      <c r="X47">
        <f>MOD((X45+X44),2)</f>
        <v>1</v>
      </c>
      <c r="Y47" s="5" t="s">
        <v>47</v>
      </c>
      <c r="Z47">
        <f>IF(OR(SUM(F44:F45)=2,AND(F45+F44=1,F47=1)), -65536 + (F47*POWER(2,F$3)+G47*POWER(2,G$3)+H47*POWER(2,H$3)+I47*POWER(2,I$3)+K47*POWER(2,K$3)+L47*POWER(2,L$3)+M47*POWER(2,M$3)+N47*POWER(2,N$3)+P47*POWER(2,P$3)+Q47*POWER(2,Q$3)+R47*POWER(2,R$3)+S47*POWER(2,S$3)+U47*POWER(2,U$3)+V47*POWER(2,V$3)+W47*POWER(2,W$3)+X47*POWER(2,X$3)), F47*POWER(2,F$3)+G47*POWER(2,G$3)+H47*POWER(2,H$3)+I47*POWER(2,I$3)+K47*POWER(2,K$3)+L47*POWER(2,L$3)+M47*POWER(2,M$3)+N47*POWER(2,N$3)+P47*POWER(2,P$3)+Q47*POWER(2,Q$3)+R47*POWER(2,R$3)+S47*POWER(2,S$3)+U47*POWER(2,U$3)+V47*POWER(2,V$3)+W47*POWER(2,W$3)+X47*POWER(2,X$3))</f>
        <v>-33083</v>
      </c>
      <c r="AF47" s="11"/>
    </row>
    <row r="49" spans="2:32" x14ac:dyDescent="0.3">
      <c r="E49" s="1" t="s">
        <v>62</v>
      </c>
      <c r="F49" s="7">
        <f>IF(OR(AND(F44=0,F45=0),AND(F44+F45=1,F47=1)),0,1)</f>
        <v>1</v>
      </c>
      <c r="H49" t="s">
        <v>63</v>
      </c>
      <c r="J49">
        <f>IF(MOD(SUM(P47:X47),2)=0,0,1)</f>
        <v>0</v>
      </c>
      <c r="M49" t="s">
        <v>64</v>
      </c>
      <c r="O49">
        <f>S43</f>
        <v>0</v>
      </c>
      <c r="R49" t="s">
        <v>65</v>
      </c>
      <c r="T49">
        <f>IF(SUM(F47:X47)=0,1,0)</f>
        <v>0</v>
      </c>
      <c r="V49" t="s">
        <v>66</v>
      </c>
      <c r="X49">
        <f>F47</f>
        <v>0</v>
      </c>
      <c r="Z49" s="1" t="s">
        <v>67</v>
      </c>
      <c r="AA49">
        <f>IF(ABS(C44+C45)&lt;=32768,0,1)</f>
        <v>1</v>
      </c>
    </row>
    <row r="51" spans="2:32" ht="14.4" customHeight="1" x14ac:dyDescent="0.3">
      <c r="D51" s="4" t="s">
        <v>46</v>
      </c>
      <c r="F51">
        <f t="shared" ref="F51:H51" si="40">QUOTIENT(G52+G53+G51,2)</f>
        <v>1</v>
      </c>
      <c r="G51">
        <f t="shared" si="40"/>
        <v>1</v>
      </c>
      <c r="H51">
        <f t="shared" si="40"/>
        <v>1</v>
      </c>
      <c r="I51">
        <f>QUOTIENT(K52+K53+K51,2)</f>
        <v>1</v>
      </c>
      <c r="K51">
        <f t="shared" ref="K51:L51" si="41">QUOTIENT(L52+L53+L51,2)</f>
        <v>1</v>
      </c>
      <c r="L51">
        <f t="shared" si="41"/>
        <v>0</v>
      </c>
      <c r="M51">
        <f>QUOTIENT(N52+N53+N51,2)</f>
        <v>0</v>
      </c>
      <c r="N51">
        <f>QUOTIENT(P52+P53+P51,2)</f>
        <v>1</v>
      </c>
      <c r="P51">
        <f>QUOTIENT(Q52+Q53+Q51,2)</f>
        <v>1</v>
      </c>
      <c r="Q51">
        <f>QUOTIENT(R52+R53+R51,2)</f>
        <v>0</v>
      </c>
      <c r="R51">
        <f>QUOTIENT(S52+S53+S51,2)</f>
        <v>0</v>
      </c>
      <c r="S51">
        <f>QUOTIENT(U52+U53+U51,2)</f>
        <v>0</v>
      </c>
      <c r="U51">
        <f>QUOTIENT(V52+V53+V51,2)</f>
        <v>1</v>
      </c>
      <c r="V51">
        <f>QUOTIENT(W52+W53+W51,2)</f>
        <v>0</v>
      </c>
      <c r="W51">
        <f>QUOTIENT(X52+X53+X51,2)</f>
        <v>1</v>
      </c>
      <c r="AF51" s="6" t="str">
        <f>IF(AND(F52=0,F53=0),"Сложены два положительных числа", IF(SUM(F52,F53) = 1, "Сложены положительное и отричательное число", "Сложены два отрицательных числа"))</f>
        <v>Сложены положительное и отричательное число</v>
      </c>
    </row>
    <row r="52" spans="2:32" x14ac:dyDescent="0.3">
      <c r="B52" s="1" t="s">
        <v>48</v>
      </c>
      <c r="C52">
        <f>C11</f>
        <v>-25531</v>
      </c>
      <c r="D52" s="1" t="s">
        <v>59</v>
      </c>
      <c r="F52">
        <f t="shared" ref="F52:O53" si="42">IF(ISBLANK(F$3),".",QUOTIENT(MOD($C52,POWER(2,F$3+1)),POWER(2,F$3)))</f>
        <v>1</v>
      </c>
      <c r="G52">
        <f t="shared" si="42"/>
        <v>0</v>
      </c>
      <c r="H52">
        <f t="shared" si="42"/>
        <v>0</v>
      </c>
      <c r="I52">
        <f t="shared" si="42"/>
        <v>1</v>
      </c>
      <c r="J52" t="str">
        <f t="shared" si="42"/>
        <v>.</v>
      </c>
      <c r="K52">
        <f t="shared" si="42"/>
        <v>1</v>
      </c>
      <c r="L52">
        <f t="shared" si="42"/>
        <v>1</v>
      </c>
      <c r="M52">
        <f t="shared" si="42"/>
        <v>0</v>
      </c>
      <c r="N52">
        <f t="shared" si="42"/>
        <v>0</v>
      </c>
      <c r="O52" t="str">
        <f t="shared" si="42"/>
        <v>.</v>
      </c>
      <c r="P52">
        <f t="shared" ref="P52:W53" si="43">IF(ISBLANK(P$3),".",QUOTIENT(MOD($C52,POWER(2,P$3+1)),POWER(2,P$3)))</f>
        <v>0</v>
      </c>
      <c r="Q52">
        <f t="shared" si="43"/>
        <v>1</v>
      </c>
      <c r="R52">
        <f t="shared" si="43"/>
        <v>0</v>
      </c>
      <c r="S52">
        <f t="shared" si="43"/>
        <v>0</v>
      </c>
      <c r="T52" t="str">
        <f t="shared" si="43"/>
        <v>.</v>
      </c>
      <c r="U52">
        <f t="shared" si="43"/>
        <v>0</v>
      </c>
      <c r="V52">
        <f t="shared" si="43"/>
        <v>1</v>
      </c>
      <c r="W52">
        <f t="shared" si="43"/>
        <v>0</v>
      </c>
      <c r="X52">
        <f>MOD(C52,2)</f>
        <v>1</v>
      </c>
      <c r="AC52" s="1"/>
      <c r="AF52" s="6" t="str">
        <f>IF(Z55&gt;0, "Получено положительное число", "Получено отрицательное число")</f>
        <v>Получено положительное число</v>
      </c>
    </row>
    <row r="53" spans="2:32" x14ac:dyDescent="0.3">
      <c r="B53" s="2" t="s">
        <v>53</v>
      </c>
      <c r="C53">
        <f>C12</f>
        <v>-70025531</v>
      </c>
      <c r="D53" s="2" t="s">
        <v>60</v>
      </c>
      <c r="F53">
        <f t="shared" si="42"/>
        <v>0</v>
      </c>
      <c r="G53">
        <f t="shared" si="42"/>
        <v>1</v>
      </c>
      <c r="H53">
        <f t="shared" si="42"/>
        <v>1</v>
      </c>
      <c r="I53">
        <f t="shared" si="42"/>
        <v>1</v>
      </c>
      <c r="J53" t="str">
        <f t="shared" si="42"/>
        <v>.</v>
      </c>
      <c r="K53">
        <f t="shared" si="42"/>
        <v>1</v>
      </c>
      <c r="L53">
        <f t="shared" si="42"/>
        <v>1</v>
      </c>
      <c r="M53">
        <f t="shared" si="42"/>
        <v>1</v>
      </c>
      <c r="N53">
        <f t="shared" si="42"/>
        <v>0</v>
      </c>
      <c r="O53" t="str">
        <f t="shared" si="42"/>
        <v>.</v>
      </c>
      <c r="P53">
        <f t="shared" si="43"/>
        <v>1</v>
      </c>
      <c r="Q53">
        <f t="shared" si="43"/>
        <v>1</v>
      </c>
      <c r="R53">
        <f t="shared" si="43"/>
        <v>0</v>
      </c>
      <c r="S53">
        <f t="shared" si="43"/>
        <v>0</v>
      </c>
      <c r="T53" t="str">
        <f t="shared" si="43"/>
        <v>.</v>
      </c>
      <c r="U53">
        <f t="shared" si="43"/>
        <v>0</v>
      </c>
      <c r="V53">
        <f t="shared" si="43"/>
        <v>1</v>
      </c>
      <c r="W53">
        <f t="shared" si="43"/>
        <v>0</v>
      </c>
      <c r="X53">
        <f>MOD(C53,2)</f>
        <v>1</v>
      </c>
      <c r="AB53" s="1"/>
      <c r="AC53" s="1"/>
      <c r="AF53" s="11" t="str">
        <f>IF(C55=Z55, "Результат выполнения операции верный и корректный,  совпадает с суммой десятичных эквивалентов", "Результат выполнения операции неверный и некорректный,  не совпадает с суммой десятичных эквивалентов, верятно из-за переполнений")</f>
        <v>Результат выполнения операции неверный и некорректный,  не совпадает с суммой десятичных эквивалентов, верятно из-за переполнений</v>
      </c>
    </row>
    <row r="54" spans="2:32" x14ac:dyDescent="0.3">
      <c r="B54" s="3" t="s">
        <v>54</v>
      </c>
      <c r="C54" s="3" t="s">
        <v>49</v>
      </c>
      <c r="D54" s="3" t="s">
        <v>50</v>
      </c>
      <c r="E54" s="3" t="s">
        <v>43</v>
      </c>
      <c r="F54" s="3" t="s">
        <v>44</v>
      </c>
      <c r="G54" s="3" t="s">
        <v>44</v>
      </c>
      <c r="H54" s="3" t="s">
        <v>44</v>
      </c>
      <c r="I54" s="3" t="s">
        <v>44</v>
      </c>
      <c r="J54" s="3" t="s">
        <v>44</v>
      </c>
      <c r="K54" s="3" t="s">
        <v>44</v>
      </c>
      <c r="L54" s="3" t="s">
        <v>44</v>
      </c>
      <c r="M54" s="3" t="s">
        <v>44</v>
      </c>
      <c r="N54" s="3" t="s">
        <v>44</v>
      </c>
      <c r="O54" s="3" t="s">
        <v>44</v>
      </c>
      <c r="P54" s="3" t="s">
        <v>44</v>
      </c>
      <c r="Q54" s="3" t="s">
        <v>44</v>
      </c>
      <c r="R54" s="3" t="s">
        <v>44</v>
      </c>
      <c r="S54" s="3" t="s">
        <v>44</v>
      </c>
      <c r="T54" s="3" t="s">
        <v>44</v>
      </c>
      <c r="U54" s="3" t="s">
        <v>44</v>
      </c>
      <c r="V54" s="3" t="s">
        <v>44</v>
      </c>
      <c r="W54" s="3" t="s">
        <v>44</v>
      </c>
      <c r="X54" s="3" t="s">
        <v>44</v>
      </c>
      <c r="AB54" s="3"/>
      <c r="AC54" s="3"/>
      <c r="AD54" s="3"/>
      <c r="AF54" s="11"/>
    </row>
    <row r="55" spans="2:32" x14ac:dyDescent="0.3">
      <c r="C55">
        <f>C53+C52</f>
        <v>-70051062</v>
      </c>
      <c r="F55">
        <f t="shared" ref="F55:I55" si="44">MOD(SUM(F51:F53),2)</f>
        <v>0</v>
      </c>
      <c r="G55">
        <f t="shared" si="44"/>
        <v>0</v>
      </c>
      <c r="H55">
        <f t="shared" si="44"/>
        <v>0</v>
      </c>
      <c r="I55">
        <f t="shared" si="44"/>
        <v>1</v>
      </c>
      <c r="J55" t="s">
        <v>45</v>
      </c>
      <c r="K55">
        <f t="shared" ref="K55:N55" si="45">MOD(SUM(K51:K53),2)</f>
        <v>1</v>
      </c>
      <c r="L55">
        <f t="shared" si="45"/>
        <v>0</v>
      </c>
      <c r="M55">
        <f t="shared" si="45"/>
        <v>1</v>
      </c>
      <c r="N55">
        <f t="shared" si="45"/>
        <v>1</v>
      </c>
      <c r="O55" t="s">
        <v>45</v>
      </c>
      <c r="P55">
        <f t="shared" ref="P55:S55" si="46">MOD(SUM(P51:P53),2)</f>
        <v>0</v>
      </c>
      <c r="Q55">
        <f t="shared" si="46"/>
        <v>0</v>
      </c>
      <c r="R55">
        <f t="shared" si="46"/>
        <v>0</v>
      </c>
      <c r="S55">
        <f t="shared" si="46"/>
        <v>0</v>
      </c>
      <c r="T55" t="s">
        <v>45</v>
      </c>
      <c r="U55">
        <f t="shared" ref="U55:V55" si="47">MOD(SUM(U51:U53),2)</f>
        <v>1</v>
      </c>
      <c r="V55">
        <f t="shared" si="47"/>
        <v>0</v>
      </c>
      <c r="W55">
        <f>MOD(SUM(W51:W53),2)</f>
        <v>1</v>
      </c>
      <c r="X55">
        <f>MOD((X53+X52),2)</f>
        <v>0</v>
      </c>
      <c r="Y55" s="5" t="s">
        <v>47</v>
      </c>
      <c r="Z55">
        <f>IF(OR(SUM(F52:F53)=2,AND(F53+F52=1,F55=1)), -65536 + (F55*POWER(2,F$3)+G55*POWER(2,G$3)+H55*POWER(2,H$3)+I55*POWER(2,I$3)+K55*POWER(2,K$3)+L55*POWER(2,L$3)+M55*POWER(2,M$3)+N55*POWER(2,N$3)+P55*POWER(2,P$3)+Q55*POWER(2,Q$3)+R55*POWER(2,R$3)+S55*POWER(2,S$3)+U55*POWER(2,U$3)+V55*POWER(2,V$3)+W55*POWER(2,W$3)+X55*POWER(2,X$3)), F55*POWER(2,F$3)+G55*POWER(2,G$3)+H55*POWER(2,H$3)+I55*POWER(2,I$3)+K55*POWER(2,K$3)+L55*POWER(2,L$3)+M55*POWER(2,M$3)+N55*POWER(2,N$3)+P55*POWER(2,P$3)+Q55*POWER(2,Q$3)+R55*POWER(2,R$3)+S55*POWER(2,S$3)+U55*POWER(2,U$3)+V55*POWER(2,V$3)+W55*POWER(2,W$3)+X55*POWER(2,X$3))</f>
        <v>6922</v>
      </c>
      <c r="AF55" s="11"/>
    </row>
    <row r="57" spans="2:32" x14ac:dyDescent="0.3">
      <c r="E57" s="1" t="s">
        <v>62</v>
      </c>
      <c r="F57" s="7">
        <f>IF(OR(AND(F52=0,F53=0),AND(F52+F53=1,F55=1)),0,1)</f>
        <v>1</v>
      </c>
      <c r="H57" t="s">
        <v>63</v>
      </c>
      <c r="J57">
        <f>IF(MOD(SUM(P55:X55),2)=0,0,1)</f>
        <v>0</v>
      </c>
      <c r="M57" t="s">
        <v>64</v>
      </c>
      <c r="O57">
        <f>S51</f>
        <v>0</v>
      </c>
      <c r="R57" t="s">
        <v>65</v>
      </c>
      <c r="T57">
        <f>IF(SUM(F55:X55)=0,1,0)</f>
        <v>0</v>
      </c>
      <c r="V57" t="s">
        <v>66</v>
      </c>
      <c r="X57">
        <f>F55</f>
        <v>0</v>
      </c>
      <c r="Z57" s="1" t="s">
        <v>67</v>
      </c>
      <c r="AA57">
        <f>IF(ABS(C52+C53)&lt;=32768,0,1)</f>
        <v>1</v>
      </c>
    </row>
    <row r="59" spans="2:32" ht="14.4" customHeight="1" x14ac:dyDescent="0.3">
      <c r="D59" s="4" t="s">
        <v>46</v>
      </c>
      <c r="F59">
        <f t="shared" ref="F59:H59" si="48">QUOTIENT(G60+G61+G59,2)</f>
        <v>0</v>
      </c>
      <c r="G59">
        <f t="shared" si="48"/>
        <v>0</v>
      </c>
      <c r="H59">
        <f t="shared" si="48"/>
        <v>1</v>
      </c>
      <c r="I59">
        <f>QUOTIENT(K60+K61+K59,2)</f>
        <v>1</v>
      </c>
      <c r="K59">
        <f t="shared" ref="K59:L59" si="49">QUOTIENT(L60+L61+L59,2)</f>
        <v>1</v>
      </c>
      <c r="L59">
        <f t="shared" si="49"/>
        <v>0</v>
      </c>
      <c r="M59">
        <f>QUOTIENT(N60+N61+N59,2)</f>
        <v>0</v>
      </c>
      <c r="N59">
        <f>QUOTIENT(P60+P61+P59,2)</f>
        <v>0</v>
      </c>
      <c r="P59">
        <f>QUOTIENT(Q60+Q61+Q59,2)</f>
        <v>0</v>
      </c>
      <c r="Q59">
        <f>QUOTIENT(R60+R61+R59,2)</f>
        <v>0</v>
      </c>
      <c r="R59">
        <f>QUOTIENT(S60+S61+S59,2)</f>
        <v>0</v>
      </c>
      <c r="S59">
        <f>QUOTIENT(U60+U61+U59,2)</f>
        <v>0</v>
      </c>
      <c r="U59">
        <f>QUOTIENT(V60+V61+V59,2)</f>
        <v>0</v>
      </c>
      <c r="V59">
        <f>QUOTIENT(W60+W61+W59,2)</f>
        <v>0</v>
      </c>
      <c r="W59">
        <f>QUOTIENT(X60+X61+X59,2)</f>
        <v>0</v>
      </c>
      <c r="AF59" s="6" t="str">
        <f>IF(AND(F60=0,F61=0),"Сложены два положительных числа", IF(SUM(F60,F61) = 1, "Сложены положительное и отричательное число", "Сложены два отрицательных числа"))</f>
        <v>Сложены положительное и отричательное число</v>
      </c>
    </row>
    <row r="60" spans="2:32" x14ac:dyDescent="0.3">
      <c r="B60" s="1" t="s">
        <v>48</v>
      </c>
      <c r="C60">
        <f>C4</f>
        <v>70000000</v>
      </c>
      <c r="D60" s="1" t="s">
        <v>41</v>
      </c>
      <c r="F60">
        <f t="shared" ref="F60:O61" si="50">IF(ISBLANK(F$3),".",QUOTIENT(MOD($C60,POWER(2,F$3+1)),POWER(2,F$3)))</f>
        <v>0</v>
      </c>
      <c r="G60">
        <f t="shared" si="50"/>
        <v>0</v>
      </c>
      <c r="H60">
        <f t="shared" si="50"/>
        <v>0</v>
      </c>
      <c r="I60">
        <f t="shared" si="50"/>
        <v>1</v>
      </c>
      <c r="J60" t="str">
        <f t="shared" si="50"/>
        <v>.</v>
      </c>
      <c r="K60">
        <f t="shared" si="50"/>
        <v>1</v>
      </c>
      <c r="L60">
        <f t="shared" si="50"/>
        <v>1</v>
      </c>
      <c r="M60">
        <f t="shared" si="50"/>
        <v>0</v>
      </c>
      <c r="N60">
        <f t="shared" si="50"/>
        <v>1</v>
      </c>
      <c r="O60" t="str">
        <f t="shared" si="50"/>
        <v>.</v>
      </c>
      <c r="P60">
        <f t="shared" ref="P60:W61" si="51">IF(ISBLANK(P$3),".",QUOTIENT(MOD($C60,POWER(2,P$3+1)),POWER(2,P$3)))</f>
        <v>1</v>
      </c>
      <c r="Q60">
        <f t="shared" si="51"/>
        <v>0</v>
      </c>
      <c r="R60">
        <f t="shared" si="51"/>
        <v>0</v>
      </c>
      <c r="S60">
        <f t="shared" si="51"/>
        <v>0</v>
      </c>
      <c r="T60" t="str">
        <f t="shared" si="51"/>
        <v>.</v>
      </c>
      <c r="U60">
        <f t="shared" si="51"/>
        <v>0</v>
      </c>
      <c r="V60">
        <f t="shared" si="51"/>
        <v>0</v>
      </c>
      <c r="W60">
        <f t="shared" si="51"/>
        <v>0</v>
      </c>
      <c r="X60">
        <f>MOD(C60,2)</f>
        <v>0</v>
      </c>
      <c r="AC60" s="1"/>
      <c r="AF60" s="6" t="str">
        <f>IF(Z63&gt;0, "Получено положительное число", "Получено отрицательное число")</f>
        <v>Получено отрицательное число</v>
      </c>
    </row>
    <row r="61" spans="2:32" x14ac:dyDescent="0.3">
      <c r="B61" s="2" t="s">
        <v>53</v>
      </c>
      <c r="C61">
        <f>C11</f>
        <v>-25531</v>
      </c>
      <c r="D61" s="2" t="s">
        <v>58</v>
      </c>
      <c r="F61">
        <f t="shared" si="50"/>
        <v>1</v>
      </c>
      <c r="G61">
        <f t="shared" si="50"/>
        <v>0</v>
      </c>
      <c r="H61">
        <f t="shared" si="50"/>
        <v>0</v>
      </c>
      <c r="I61">
        <f t="shared" si="50"/>
        <v>1</v>
      </c>
      <c r="J61" t="str">
        <f t="shared" si="50"/>
        <v>.</v>
      </c>
      <c r="K61">
        <f t="shared" si="50"/>
        <v>1</v>
      </c>
      <c r="L61">
        <f t="shared" si="50"/>
        <v>1</v>
      </c>
      <c r="M61">
        <f t="shared" si="50"/>
        <v>0</v>
      </c>
      <c r="N61">
        <f t="shared" si="50"/>
        <v>0</v>
      </c>
      <c r="O61" t="str">
        <f t="shared" si="50"/>
        <v>.</v>
      </c>
      <c r="P61">
        <f t="shared" si="51"/>
        <v>0</v>
      </c>
      <c r="Q61">
        <f t="shared" si="51"/>
        <v>1</v>
      </c>
      <c r="R61">
        <f t="shared" si="51"/>
        <v>0</v>
      </c>
      <c r="S61">
        <f t="shared" si="51"/>
        <v>0</v>
      </c>
      <c r="T61" t="str">
        <f t="shared" si="51"/>
        <v>.</v>
      </c>
      <c r="U61">
        <f t="shared" si="51"/>
        <v>0</v>
      </c>
      <c r="V61">
        <f t="shared" si="51"/>
        <v>1</v>
      </c>
      <c r="W61">
        <f t="shared" si="51"/>
        <v>0</v>
      </c>
      <c r="X61">
        <f>MOD(C61,2)</f>
        <v>1</v>
      </c>
      <c r="AB61" s="1"/>
      <c r="AC61" s="1"/>
      <c r="AF61" s="11" t="str">
        <f>IF(C63=Z63, "Результат выполнения операции верный и корректный,  совпадает с суммой десятичных эквивалентов", "Результат выполнения операции неверный и некорректный,  не совпадает с суммой десятичных эквивалентов, верятно из-за переполнений")</f>
        <v>Результат выполнения операции неверный и некорректный,  не совпадает с суммой десятичных эквивалентов, верятно из-за переполнений</v>
      </c>
    </row>
    <row r="62" spans="2:32" x14ac:dyDescent="0.3">
      <c r="B62" s="3" t="s">
        <v>54</v>
      </c>
      <c r="C62" s="3" t="s">
        <v>49</v>
      </c>
      <c r="D62" s="3" t="s">
        <v>50</v>
      </c>
      <c r="E62" s="3" t="s">
        <v>43</v>
      </c>
      <c r="F62" s="3" t="s">
        <v>44</v>
      </c>
      <c r="G62" s="3" t="s">
        <v>44</v>
      </c>
      <c r="H62" s="3" t="s">
        <v>44</v>
      </c>
      <c r="I62" s="3" t="s">
        <v>44</v>
      </c>
      <c r="J62" s="3" t="s">
        <v>44</v>
      </c>
      <c r="K62" s="3" t="s">
        <v>44</v>
      </c>
      <c r="L62" s="3" t="s">
        <v>44</v>
      </c>
      <c r="M62" s="3" t="s">
        <v>44</v>
      </c>
      <c r="N62" s="3" t="s">
        <v>44</v>
      </c>
      <c r="O62" s="3" t="s">
        <v>44</v>
      </c>
      <c r="P62" s="3" t="s">
        <v>44</v>
      </c>
      <c r="Q62" s="3" t="s">
        <v>44</v>
      </c>
      <c r="R62" s="3" t="s">
        <v>44</v>
      </c>
      <c r="S62" s="3" t="s">
        <v>44</v>
      </c>
      <c r="T62" s="3" t="s">
        <v>44</v>
      </c>
      <c r="U62" s="3" t="s">
        <v>44</v>
      </c>
      <c r="V62" s="3" t="s">
        <v>44</v>
      </c>
      <c r="W62" s="3" t="s">
        <v>44</v>
      </c>
      <c r="X62" s="3" t="s">
        <v>44</v>
      </c>
      <c r="AB62" s="3"/>
      <c r="AC62" s="3"/>
      <c r="AD62" s="3"/>
      <c r="AF62" s="11"/>
    </row>
    <row r="63" spans="2:32" x14ac:dyDescent="0.3">
      <c r="C63">
        <f>C61+C60</f>
        <v>69974469</v>
      </c>
      <c r="F63">
        <f t="shared" ref="F63:I63" si="52">MOD(SUM(F59:F61),2)</f>
        <v>1</v>
      </c>
      <c r="G63">
        <f t="shared" si="52"/>
        <v>0</v>
      </c>
      <c r="H63">
        <f t="shared" si="52"/>
        <v>1</v>
      </c>
      <c r="I63">
        <f t="shared" si="52"/>
        <v>1</v>
      </c>
      <c r="J63" t="s">
        <v>45</v>
      </c>
      <c r="K63">
        <f t="shared" ref="K63:N63" si="53">MOD(SUM(K59:K61),2)</f>
        <v>1</v>
      </c>
      <c r="L63">
        <f t="shared" si="53"/>
        <v>0</v>
      </c>
      <c r="M63">
        <f t="shared" si="53"/>
        <v>0</v>
      </c>
      <c r="N63">
        <f t="shared" si="53"/>
        <v>1</v>
      </c>
      <c r="O63" t="s">
        <v>45</v>
      </c>
      <c r="P63">
        <f t="shared" ref="P63:S63" si="54">MOD(SUM(P59:P61),2)</f>
        <v>1</v>
      </c>
      <c r="Q63">
        <f t="shared" si="54"/>
        <v>1</v>
      </c>
      <c r="R63">
        <f t="shared" si="54"/>
        <v>0</v>
      </c>
      <c r="S63">
        <f t="shared" si="54"/>
        <v>0</v>
      </c>
      <c r="T63" t="s">
        <v>45</v>
      </c>
      <c r="U63">
        <f t="shared" ref="U63:V63" si="55">MOD(SUM(U59:U61),2)</f>
        <v>0</v>
      </c>
      <c r="V63">
        <f t="shared" si="55"/>
        <v>1</v>
      </c>
      <c r="W63">
        <f>MOD(SUM(W59:W61),2)</f>
        <v>0</v>
      </c>
      <c r="X63">
        <f>MOD((X61+X60),2)</f>
        <v>1</v>
      </c>
      <c r="Y63" s="5" t="s">
        <v>47</v>
      </c>
      <c r="Z63">
        <f>IF(OR(SUM(F60:F61)=2,AND(F61+F60=1,F63=1)), -65536 + (F63*POWER(2,F$3)+G63*POWER(2,G$3)+H63*POWER(2,H$3)+I63*POWER(2,I$3)+K63*POWER(2,K$3)+L63*POWER(2,L$3)+M63*POWER(2,M$3)+N63*POWER(2,N$3)+P63*POWER(2,P$3)+Q63*POWER(2,Q$3)+R63*POWER(2,R$3)+S63*POWER(2,S$3)+U63*POWER(2,U$3)+V63*POWER(2,V$3)+W63*POWER(2,W$3)+X63*POWER(2,X$3)), F63*POWER(2,F$3)+G63*POWER(2,G$3)+H63*POWER(2,H$3)+I63*POWER(2,I$3)+K63*POWER(2,K$3)+L63*POWER(2,L$3)+M63*POWER(2,M$3)+N63*POWER(2,N$3)+P63*POWER(2,P$3)+Q63*POWER(2,Q$3)+R63*POWER(2,R$3)+S63*POWER(2,S$3)+U63*POWER(2,U$3)+V63*POWER(2,V$3)+W63*POWER(2,W$3)+X63*POWER(2,X$3))</f>
        <v>-17979</v>
      </c>
      <c r="AF63" s="11"/>
    </row>
    <row r="65" spans="2:32" x14ac:dyDescent="0.3">
      <c r="E65" s="1" t="s">
        <v>62</v>
      </c>
      <c r="F65" s="7">
        <f>IF(OR(AND(F60=0,F61=0),AND(F60+F61=1,F63=1)),0,1)</f>
        <v>0</v>
      </c>
      <c r="H65" t="s">
        <v>63</v>
      </c>
      <c r="J65">
        <f>IF(MOD(SUM(P63:X63),2)=0,0,1)</f>
        <v>0</v>
      </c>
      <c r="M65" t="s">
        <v>64</v>
      </c>
      <c r="O65">
        <f>S59</f>
        <v>0</v>
      </c>
      <c r="R65" t="s">
        <v>65</v>
      </c>
      <c r="T65">
        <f>IF(SUM(F63:X63)=0,1,0)</f>
        <v>0</v>
      </c>
      <c r="V65" t="s">
        <v>66</v>
      </c>
      <c r="X65">
        <f>F63</f>
        <v>1</v>
      </c>
      <c r="Z65" s="1" t="s">
        <v>67</v>
      </c>
      <c r="AA65">
        <f>IF(ABS(C60+C61)&lt;=32768,0,1)</f>
        <v>1</v>
      </c>
    </row>
    <row r="67" spans="2:32" ht="14.4" customHeight="1" x14ac:dyDescent="0.3">
      <c r="D67" s="4" t="s">
        <v>46</v>
      </c>
      <c r="F67">
        <f t="shared" ref="F67:H67" si="56">QUOTIENT(G68+G69+G67,2)</f>
        <v>0</v>
      </c>
      <c r="G67">
        <f t="shared" si="56"/>
        <v>0</v>
      </c>
      <c r="H67">
        <f t="shared" si="56"/>
        <v>0</v>
      </c>
      <c r="I67">
        <f>QUOTIENT(K68+K69+K67,2)</f>
        <v>0</v>
      </c>
      <c r="K67">
        <f t="shared" ref="K67:L67" si="57">QUOTIENT(L68+L69+L67,2)</f>
        <v>0</v>
      </c>
      <c r="L67">
        <f t="shared" si="57"/>
        <v>0</v>
      </c>
      <c r="M67">
        <f>QUOTIENT(N68+N69+N67,2)</f>
        <v>1</v>
      </c>
      <c r="N67">
        <f>QUOTIENT(P68+P69+P67,2)</f>
        <v>1</v>
      </c>
      <c r="P67">
        <f>QUOTIENT(Q68+Q69+Q67,2)</f>
        <v>1</v>
      </c>
      <c r="Q67">
        <f>QUOTIENT(R68+R69+R67,2)</f>
        <v>1</v>
      </c>
      <c r="R67">
        <f>QUOTIENT(S68+S69+S67,2)</f>
        <v>1</v>
      </c>
      <c r="S67">
        <f>QUOTIENT(U68+U69+U67,2)</f>
        <v>1</v>
      </c>
      <c r="U67">
        <f>QUOTIENT(V68+V69+V67,2)</f>
        <v>1</v>
      </c>
      <c r="V67">
        <f>QUOTIENT(W68+W69+W67,2)</f>
        <v>1</v>
      </c>
      <c r="W67">
        <f>QUOTIENT(X68+X69+X67,2)</f>
        <v>1</v>
      </c>
      <c r="AF67" s="6" t="str">
        <f>IF(AND(F68=0,F69=0),"Сложены два положительных числа", IF(SUM(F68,F69) = 1, "Сложены положительное и отричательное число", "Сложены два отрицательных числа"))</f>
        <v>Сложены два отрицательных числа</v>
      </c>
    </row>
    <row r="68" spans="2:32" x14ac:dyDescent="0.3">
      <c r="B68" s="1" t="s">
        <v>48</v>
      </c>
      <c r="C68">
        <f>C14</f>
        <v>69974469</v>
      </c>
      <c r="D68" s="1" t="s">
        <v>61</v>
      </c>
      <c r="F68">
        <f t="shared" ref="F68:O69" si="58">IF(ISBLANK(F$3),".",QUOTIENT(MOD($C68,POWER(2,F$3+1)),POWER(2,F$3)))</f>
        <v>1</v>
      </c>
      <c r="G68">
        <f t="shared" si="58"/>
        <v>0</v>
      </c>
      <c r="H68">
        <f t="shared" si="58"/>
        <v>1</v>
      </c>
      <c r="I68">
        <f t="shared" si="58"/>
        <v>1</v>
      </c>
      <c r="J68" t="str">
        <f t="shared" si="58"/>
        <v>.</v>
      </c>
      <c r="K68">
        <f t="shared" si="58"/>
        <v>1</v>
      </c>
      <c r="L68">
        <f t="shared" si="58"/>
        <v>0</v>
      </c>
      <c r="M68">
        <f t="shared" si="58"/>
        <v>0</v>
      </c>
      <c r="N68">
        <f t="shared" si="58"/>
        <v>1</v>
      </c>
      <c r="O68" t="str">
        <f t="shared" si="58"/>
        <v>.</v>
      </c>
      <c r="P68">
        <f t="shared" ref="P68:W69" si="59">IF(ISBLANK(P$3),".",QUOTIENT(MOD($C68,POWER(2,P$3+1)),POWER(2,P$3)))</f>
        <v>1</v>
      </c>
      <c r="Q68">
        <f t="shared" si="59"/>
        <v>1</v>
      </c>
      <c r="R68">
        <f t="shared" si="59"/>
        <v>0</v>
      </c>
      <c r="S68">
        <f t="shared" si="59"/>
        <v>0</v>
      </c>
      <c r="T68" t="str">
        <f t="shared" si="59"/>
        <v>.</v>
      </c>
      <c r="U68">
        <f t="shared" si="59"/>
        <v>0</v>
      </c>
      <c r="V68">
        <f t="shared" si="59"/>
        <v>1</v>
      </c>
      <c r="W68">
        <f t="shared" si="59"/>
        <v>0</v>
      </c>
      <c r="X68">
        <f>MOD(C68,2)</f>
        <v>1</v>
      </c>
      <c r="AC68" s="1"/>
      <c r="AF68" s="6" t="str">
        <f>IF(Z71&gt;0, "Получено положительное число", "Получено отрицательное число")</f>
        <v>Получено отрицательное число</v>
      </c>
    </row>
    <row r="69" spans="2:32" x14ac:dyDescent="0.3">
      <c r="B69" s="2" t="s">
        <v>53</v>
      </c>
      <c r="C69">
        <f>C6</f>
        <v>70025531</v>
      </c>
      <c r="D69" s="2" t="s">
        <v>55</v>
      </c>
      <c r="F69">
        <f t="shared" si="58"/>
        <v>1</v>
      </c>
      <c r="G69">
        <f t="shared" si="58"/>
        <v>0</v>
      </c>
      <c r="H69">
        <f t="shared" si="58"/>
        <v>0</v>
      </c>
      <c r="I69">
        <f t="shared" si="58"/>
        <v>0</v>
      </c>
      <c r="J69" t="str">
        <f t="shared" si="58"/>
        <v>.</v>
      </c>
      <c r="K69">
        <f t="shared" si="58"/>
        <v>0</v>
      </c>
      <c r="L69">
        <f t="shared" si="58"/>
        <v>0</v>
      </c>
      <c r="M69">
        <f t="shared" si="58"/>
        <v>0</v>
      </c>
      <c r="N69">
        <f t="shared" si="58"/>
        <v>1</v>
      </c>
      <c r="O69" t="str">
        <f t="shared" si="58"/>
        <v>.</v>
      </c>
      <c r="P69">
        <f t="shared" si="59"/>
        <v>0</v>
      </c>
      <c r="Q69">
        <f t="shared" si="59"/>
        <v>0</v>
      </c>
      <c r="R69">
        <f t="shared" si="59"/>
        <v>1</v>
      </c>
      <c r="S69">
        <f t="shared" si="59"/>
        <v>1</v>
      </c>
      <c r="T69" t="str">
        <f t="shared" si="59"/>
        <v>.</v>
      </c>
      <c r="U69">
        <f t="shared" si="59"/>
        <v>1</v>
      </c>
      <c r="V69">
        <f t="shared" si="59"/>
        <v>0</v>
      </c>
      <c r="W69">
        <f t="shared" si="59"/>
        <v>1</v>
      </c>
      <c r="X69">
        <f>MOD(C69,2)</f>
        <v>1</v>
      </c>
      <c r="AB69" s="1"/>
      <c r="AC69" s="1"/>
      <c r="AF69" s="11" t="str">
        <f>IF(C71=Z71, "Результат выполнения операции верный и корректный,  совпадает с суммой десятичных эквивалентов", "Результат выполнения операции неверный и некорректный,  не совпадает с суммой десятичных эквивалентов, верятно из-за переполнений")</f>
        <v>Результат выполнения операции неверный и некорректный,  не совпадает с суммой десятичных эквивалентов, верятно из-за переполнений</v>
      </c>
    </row>
    <row r="70" spans="2:32" x14ac:dyDescent="0.3">
      <c r="B70" s="3" t="s">
        <v>54</v>
      </c>
      <c r="C70" s="3" t="s">
        <v>49</v>
      </c>
      <c r="D70" s="3" t="s">
        <v>50</v>
      </c>
      <c r="E70" s="3" t="s">
        <v>43</v>
      </c>
      <c r="F70" s="3" t="s">
        <v>44</v>
      </c>
      <c r="G70" s="3" t="s">
        <v>44</v>
      </c>
      <c r="H70" s="3" t="s">
        <v>44</v>
      </c>
      <c r="I70" s="3" t="s">
        <v>44</v>
      </c>
      <c r="J70" s="3" t="s">
        <v>44</v>
      </c>
      <c r="K70" s="3" t="s">
        <v>44</v>
      </c>
      <c r="L70" s="3" t="s">
        <v>44</v>
      </c>
      <c r="M70" s="3" t="s">
        <v>44</v>
      </c>
      <c r="N70" s="3" t="s">
        <v>44</v>
      </c>
      <c r="O70" s="3" t="s">
        <v>44</v>
      </c>
      <c r="P70" s="3" t="s">
        <v>44</v>
      </c>
      <c r="Q70" s="3" t="s">
        <v>44</v>
      </c>
      <c r="R70" s="3" t="s">
        <v>44</v>
      </c>
      <c r="S70" s="3" t="s">
        <v>44</v>
      </c>
      <c r="T70" s="3" t="s">
        <v>44</v>
      </c>
      <c r="U70" s="3" t="s">
        <v>44</v>
      </c>
      <c r="V70" s="3" t="s">
        <v>44</v>
      </c>
      <c r="W70" s="3" t="s">
        <v>44</v>
      </c>
      <c r="X70" s="3" t="s">
        <v>44</v>
      </c>
      <c r="AB70" s="3"/>
      <c r="AC70" s="3"/>
      <c r="AD70" s="3"/>
      <c r="AF70" s="11"/>
    </row>
    <row r="71" spans="2:32" x14ac:dyDescent="0.3">
      <c r="C71">
        <f>C69+C68</f>
        <v>140000000</v>
      </c>
      <c r="F71">
        <f t="shared" ref="F71:I71" si="60">MOD(SUM(F67:F69),2)</f>
        <v>0</v>
      </c>
      <c r="G71">
        <f t="shared" si="60"/>
        <v>0</v>
      </c>
      <c r="H71">
        <f t="shared" si="60"/>
        <v>1</v>
      </c>
      <c r="I71">
        <f t="shared" si="60"/>
        <v>1</v>
      </c>
      <c r="J71" t="s">
        <v>45</v>
      </c>
      <c r="K71">
        <f t="shared" ref="K71:N71" si="61">MOD(SUM(K67:K69),2)</f>
        <v>1</v>
      </c>
      <c r="L71">
        <f t="shared" si="61"/>
        <v>0</v>
      </c>
      <c r="M71">
        <f t="shared" si="61"/>
        <v>1</v>
      </c>
      <c r="N71">
        <f t="shared" si="61"/>
        <v>1</v>
      </c>
      <c r="O71" t="s">
        <v>45</v>
      </c>
      <c r="P71">
        <f t="shared" ref="P71:S71" si="62">MOD(SUM(P67:P69),2)</f>
        <v>0</v>
      </c>
      <c r="Q71">
        <f t="shared" si="62"/>
        <v>0</v>
      </c>
      <c r="R71">
        <f t="shared" si="62"/>
        <v>0</v>
      </c>
      <c r="S71">
        <f t="shared" si="62"/>
        <v>0</v>
      </c>
      <c r="T71" t="s">
        <v>45</v>
      </c>
      <c r="U71">
        <f t="shared" ref="U71:V71" si="63">MOD(SUM(U67:U69),2)</f>
        <v>0</v>
      </c>
      <c r="V71">
        <f t="shared" si="63"/>
        <v>0</v>
      </c>
      <c r="W71">
        <f>MOD(SUM(W67:W69),2)</f>
        <v>0</v>
      </c>
      <c r="X71">
        <f>MOD((X69+X68),2)</f>
        <v>0</v>
      </c>
      <c r="Y71" s="5" t="s">
        <v>47</v>
      </c>
      <c r="Z71">
        <f>IF(OR(SUM(F68:F69)=2,AND(F69+F68=1,F71=1)), -65536 + (F71*POWER(2,F$3)+G71*POWER(2,G$3)+H71*POWER(2,H$3)+I71*POWER(2,I$3)+K71*POWER(2,K$3)+L71*POWER(2,L$3)+M71*POWER(2,M$3)+N71*POWER(2,N$3)+P71*POWER(2,P$3)+Q71*POWER(2,Q$3)+R71*POWER(2,R$3)+S71*POWER(2,S$3)+U71*POWER(2,U$3)+V71*POWER(2,V$3)+W71*POWER(2,W$3)+X71*POWER(2,X$3)), F71*POWER(2,F$3)+G71*POWER(2,G$3)+H71*POWER(2,H$3)+I71*POWER(2,I$3)+K71*POWER(2,K$3)+L71*POWER(2,L$3)+M71*POWER(2,M$3)+N71*POWER(2,N$3)+P71*POWER(2,P$3)+Q71*POWER(2,Q$3)+R71*POWER(2,R$3)+S71*POWER(2,S$3)+U71*POWER(2,U$3)+V71*POWER(2,V$3)+W71*POWER(2,W$3)+X71*POWER(2,X$3))</f>
        <v>-50432</v>
      </c>
      <c r="AF71" s="11"/>
    </row>
    <row r="73" spans="2:32" x14ac:dyDescent="0.3">
      <c r="E73" s="1" t="s">
        <v>62</v>
      </c>
      <c r="F73" s="7">
        <f>IF(OR(AND(F68=0,F69=0),AND(F68+F69=1,F71=1)),0,1)</f>
        <v>1</v>
      </c>
      <c r="H73" t="s">
        <v>63</v>
      </c>
      <c r="J73">
        <f>IF(MOD(SUM(P71:X71),2)=0,0,1)</f>
        <v>0</v>
      </c>
      <c r="M73" t="s">
        <v>64</v>
      </c>
      <c r="O73">
        <f>S67</f>
        <v>1</v>
      </c>
      <c r="R73" t="s">
        <v>65</v>
      </c>
      <c r="T73">
        <f>IF(SUM(F71:X71)=0,1,0)</f>
        <v>0</v>
      </c>
      <c r="V73" t="s">
        <v>66</v>
      </c>
      <c r="X73">
        <f>F71</f>
        <v>0</v>
      </c>
      <c r="Z73" s="1" t="s">
        <v>67</v>
      </c>
      <c r="AA73">
        <f>IF(ABS(C68+C69)&lt;=32768,0,1)</f>
        <v>1</v>
      </c>
    </row>
  </sheetData>
  <mergeCells count="7">
    <mergeCell ref="AF53:AF55"/>
    <mergeCell ref="AF61:AF63"/>
    <mergeCell ref="AF69:AF71"/>
    <mergeCell ref="AF21:AF23"/>
    <mergeCell ref="AF29:AF31"/>
    <mergeCell ref="AF37:AF39"/>
    <mergeCell ref="AF45:AF47"/>
  </mergeCells>
  <conditionalFormatting sqref="F4:X7">
    <cfRule type="cellIs" dxfId="0" priority="1" operator="equal">
      <formula>0</formula>
    </cfRule>
  </conditionalFormatting>
  <pageMargins left="0.7" right="0.7" top="0.75" bottom="0.75" header="0.3" footer="0.3"/>
  <pageSetup paperSize="9" orientation="portrait" r:id="rId1"/>
  <headerFooter>
    <oddHeader>&amp;CИсаева Ирина Антоновна, вариант 9, lab5.xlsx</oddHeader>
    <oddFooter>&amp;C07/12/2024   19:15:30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2024-12-23T05:55:47Z</dcterms:modified>
</cp:coreProperties>
</file>